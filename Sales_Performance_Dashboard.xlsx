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SJ Excel\"/>
    </mc:Choice>
  </mc:AlternateContent>
  <xr:revisionPtr revIDLastSave="0" documentId="13_ncr:1_{5516A4DE-4996-4B9B-B1FD-7401C1F9BA0F}" xr6:coauthVersionLast="47" xr6:coauthVersionMax="47" xr10:uidLastSave="{00000000-0000-0000-0000-000000000000}"/>
  <bookViews>
    <workbookView xWindow="-108" yWindow="-108" windowWidth="23256" windowHeight="12456" activeTab="2" xr2:uid="{00000000-000D-0000-FFFF-FFFF00000000}"/>
  </bookViews>
  <sheets>
    <sheet name="Raw Data" sheetId="1" r:id="rId1"/>
    <sheet name="Pivottables" sheetId="3" r:id="rId2"/>
    <sheet name="Dashboard" sheetId="4" r:id="rId3"/>
    <sheet name="Summary Tables" sheetId="2" r:id="rId4"/>
  </sheets>
  <definedNames>
    <definedName name="_xlnm._FilterDatabase" localSheetId="0" hidden="1">'Raw Data'!$A$1:$U$1001</definedName>
    <definedName name="Slicer_Channel">#N/A</definedName>
    <definedName name="Slicer_Quarter1">#N/A</definedName>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9" i="3" l="1"/>
  <c r="AK6" i="4" s="1"/>
  <c r="AK7" i="4" s="1"/>
  <c r="H4" i="3"/>
  <c r="H6" i="3" s="1"/>
  <c r="AK9" i="4" s="1"/>
  <c r="B10" i="3"/>
  <c r="AK3" i="4"/>
  <c r="B19" i="3"/>
  <c r="B20" i="3"/>
  <c r="AK5" i="4"/>
  <c r="AK13" i="4" l="1"/>
  <c r="H5" i="3"/>
  <c r="AK10" i="4" s="1"/>
  <c r="AK8" i="4"/>
  <c r="AK4" i="4"/>
</calcChain>
</file>

<file path=xl/sharedStrings.xml><?xml version="1.0" encoding="utf-8"?>
<sst xmlns="http://schemas.openxmlformats.org/spreadsheetml/2006/main" count="9152" uniqueCount="1386">
  <si>
    <t>Order ID</t>
  </si>
  <si>
    <t>Date</t>
  </si>
  <si>
    <t>Month</t>
  </si>
  <si>
    <t>Quarter</t>
  </si>
  <si>
    <t>Region</t>
  </si>
  <si>
    <t>Sales Rep</t>
  </si>
  <si>
    <t>Channel</t>
  </si>
  <si>
    <t>Category</t>
  </si>
  <si>
    <t>Product</t>
  </si>
  <si>
    <t>Quantity</t>
  </si>
  <si>
    <t>Unit Price ($)</t>
  </si>
  <si>
    <t>Discount %</t>
  </si>
  <si>
    <t>Gross Revenue ($)</t>
  </si>
  <si>
    <t>Discount Amount ($)</t>
  </si>
  <si>
    <t>Net Revenue ($)</t>
  </si>
  <si>
    <t>COGS ($)</t>
  </si>
  <si>
    <t>Gross Profit ($)</t>
  </si>
  <si>
    <t>Gross Margin %</t>
  </si>
  <si>
    <t>Status</t>
  </si>
  <si>
    <t>Customer Satisfaction</t>
  </si>
  <si>
    <t>ORD-10000</t>
  </si>
  <si>
    <t>Jan 2024</t>
  </si>
  <si>
    <t>North</t>
  </si>
  <si>
    <t>Grace Miller</t>
  </si>
  <si>
    <t>Wholesale</t>
  </si>
  <si>
    <t>Beauty</t>
  </si>
  <si>
    <t>Beauty Item 29</t>
  </si>
  <si>
    <t>Pending</t>
  </si>
  <si>
    <t>ORD-10001</t>
  </si>
  <si>
    <t>East</t>
  </si>
  <si>
    <t>Bob Smith</t>
  </si>
  <si>
    <t>Clothing</t>
  </si>
  <si>
    <t>Clothing Item 04</t>
  </si>
  <si>
    <t>Returned</t>
  </si>
  <si>
    <t>ORD-10002</t>
  </si>
  <si>
    <t>West</t>
  </si>
  <si>
    <t>David Lee</t>
  </si>
  <si>
    <t>Retail Store</t>
  </si>
  <si>
    <t>Food &amp; Beverage</t>
  </si>
  <si>
    <t>Food &amp; Beverage Item 20</t>
  </si>
  <si>
    <t>ORD-10003</t>
  </si>
  <si>
    <t>Central</t>
  </si>
  <si>
    <t>Iris Taylor</t>
  </si>
  <si>
    <t>Clothing Item 40</t>
  </si>
  <si>
    <t>Completed</t>
  </si>
  <si>
    <t>ORD-10004</t>
  </si>
  <si>
    <t>Henry Wilson</t>
  </si>
  <si>
    <t>Home &amp; Garden</t>
  </si>
  <si>
    <t>Home &amp; Garden Item 41</t>
  </si>
  <si>
    <t>ORD-10005</t>
  </si>
  <si>
    <t>Direct Sales</t>
  </si>
  <si>
    <t>Clothing Item 28</t>
  </si>
  <si>
    <t>ORD-10006</t>
  </si>
  <si>
    <t>South</t>
  </si>
  <si>
    <t>Carol White</t>
  </si>
  <si>
    <t>Electronics</t>
  </si>
  <si>
    <t>Electronics Item 05</t>
  </si>
  <si>
    <t>ORD-10007</t>
  </si>
  <si>
    <t>Jack Anderson</t>
  </si>
  <si>
    <t>Online</t>
  </si>
  <si>
    <t>Electronics Item 07</t>
  </si>
  <si>
    <t>ORD-10008</t>
  </si>
  <si>
    <t>Clothing Item 44</t>
  </si>
  <si>
    <t>ORD-10009</t>
  </si>
  <si>
    <t>Home &amp; Garden Item 04</t>
  </si>
  <si>
    <t>ORD-10010</t>
  </si>
  <si>
    <t>Alice Johnson</t>
  </si>
  <si>
    <t>Beauty Item 36</t>
  </si>
  <si>
    <t>ORD-10011</t>
  </si>
  <si>
    <t>Food &amp; Beverage Item 04</t>
  </si>
  <si>
    <t>ORD-10012</t>
  </si>
  <si>
    <t>Beauty Item 19</t>
  </si>
  <si>
    <t>ORD-10013</t>
  </si>
  <si>
    <t>Home &amp; Garden Item 25</t>
  </si>
  <si>
    <t>ORD-10014</t>
  </si>
  <si>
    <t>Sports</t>
  </si>
  <si>
    <t>Sports Item 26</t>
  </si>
  <si>
    <t>ORD-10015</t>
  </si>
  <si>
    <t>ORD-10016</t>
  </si>
  <si>
    <t>Sports Item 40</t>
  </si>
  <si>
    <t>ORD-10017</t>
  </si>
  <si>
    <t>Food &amp; Beverage Item 49</t>
  </si>
  <si>
    <t>ORD-10018</t>
  </si>
  <si>
    <t>Home &amp; Garden Item 27</t>
  </si>
  <si>
    <t>ORD-10019</t>
  </si>
  <si>
    <t>Food &amp; Beverage Item 15</t>
  </si>
  <si>
    <t>ORD-10020</t>
  </si>
  <si>
    <t>Sports Item 39</t>
  </si>
  <si>
    <t>ORD-10021</t>
  </si>
  <si>
    <t>Home &amp; Garden Item 43</t>
  </si>
  <si>
    <t>ORD-10022</t>
  </si>
  <si>
    <t>Emma Brown</t>
  </si>
  <si>
    <t>Beauty Item 40</t>
  </si>
  <si>
    <t>ORD-10023</t>
  </si>
  <si>
    <t>Beauty Item 01</t>
  </si>
  <si>
    <t>ORD-10024</t>
  </si>
  <si>
    <t>Sports Item 30</t>
  </si>
  <si>
    <t>ORD-10025</t>
  </si>
  <si>
    <t>Sports Item 25</t>
  </si>
  <si>
    <t>ORD-10026</t>
  </si>
  <si>
    <t>Electronics Item 30</t>
  </si>
  <si>
    <t>ORD-10027</t>
  </si>
  <si>
    <t>Beauty Item 28</t>
  </si>
  <si>
    <t>ORD-10028</t>
  </si>
  <si>
    <t>Electronics Item 40</t>
  </si>
  <si>
    <t>ORD-10029</t>
  </si>
  <si>
    <t>ORD-10030</t>
  </si>
  <si>
    <t>Food &amp; Beverage Item 07</t>
  </si>
  <si>
    <t>ORD-10031</t>
  </si>
  <si>
    <t>Home &amp; Garden Item 22</t>
  </si>
  <si>
    <t>ORD-10032</t>
  </si>
  <si>
    <t>Beauty Item 42</t>
  </si>
  <si>
    <t>ORD-10033</t>
  </si>
  <si>
    <t>Home &amp; Garden Item 44</t>
  </si>
  <si>
    <t>ORD-10034</t>
  </si>
  <si>
    <t>Electronics Item 02</t>
  </si>
  <si>
    <t>ORD-10035</t>
  </si>
  <si>
    <t>ORD-10036</t>
  </si>
  <si>
    <t>Clothing Item 34</t>
  </si>
  <si>
    <t>ORD-10037</t>
  </si>
  <si>
    <t>Food &amp; Beverage Item 22</t>
  </si>
  <si>
    <t>ORD-10038</t>
  </si>
  <si>
    <t>Frank Davis</t>
  </si>
  <si>
    <t>Beauty Item 38</t>
  </si>
  <si>
    <t>ORD-10039</t>
  </si>
  <si>
    <t>Beauty Item 13</t>
  </si>
  <si>
    <t>ORD-10040</t>
  </si>
  <si>
    <t>ORD-10041</t>
  </si>
  <si>
    <t>ORD-10042</t>
  </si>
  <si>
    <t>Home &amp; Garden Item 01</t>
  </si>
  <si>
    <t>ORD-10043</t>
  </si>
  <si>
    <t>Beauty Item 39</t>
  </si>
  <si>
    <t>ORD-10044</t>
  </si>
  <si>
    <t>Electronics Item 46</t>
  </si>
  <si>
    <t>ORD-10045</t>
  </si>
  <si>
    <t>Clothing Item 05</t>
  </si>
  <si>
    <t>ORD-10046</t>
  </si>
  <si>
    <t>Sports Item 38</t>
  </si>
  <si>
    <t>ORD-10047</t>
  </si>
  <si>
    <t>ORD-10048</t>
  </si>
  <si>
    <t>Food &amp; Beverage Item 37</t>
  </si>
  <si>
    <t>ORD-10049</t>
  </si>
  <si>
    <t>Sports Item 09</t>
  </si>
  <si>
    <t>ORD-10050</t>
  </si>
  <si>
    <t>ORD-10051</t>
  </si>
  <si>
    <t>Clothing Item 33</t>
  </si>
  <si>
    <t>ORD-10052</t>
  </si>
  <si>
    <t>Beauty Item 17</t>
  </si>
  <si>
    <t>ORD-10053</t>
  </si>
  <si>
    <t>Sports Item 23</t>
  </si>
  <si>
    <t>ORD-10054</t>
  </si>
  <si>
    <t>Food &amp; Beverage Item 27</t>
  </si>
  <si>
    <t>ORD-10055</t>
  </si>
  <si>
    <t>Sports Item 31</t>
  </si>
  <si>
    <t>ORD-10056</t>
  </si>
  <si>
    <t>Electronics Item 47</t>
  </si>
  <si>
    <t>ORD-10057</t>
  </si>
  <si>
    <t>ORD-10058</t>
  </si>
  <si>
    <t>Home &amp; Garden Item 29</t>
  </si>
  <si>
    <t>ORD-10059</t>
  </si>
  <si>
    <t>Sports Item 12</t>
  </si>
  <si>
    <t>ORD-10060</t>
  </si>
  <si>
    <t>Home &amp; Garden Item 16</t>
  </si>
  <si>
    <t>ORD-10061</t>
  </si>
  <si>
    <t>Home &amp; Garden Item 09</t>
  </si>
  <si>
    <t>ORD-10062</t>
  </si>
  <si>
    <t>Food &amp; Beverage Item 03</t>
  </si>
  <si>
    <t>ORD-10063</t>
  </si>
  <si>
    <t>Electronics Item 04</t>
  </si>
  <si>
    <t>ORD-10064</t>
  </si>
  <si>
    <t>Clothing Item 09</t>
  </si>
  <si>
    <t>ORD-10065</t>
  </si>
  <si>
    <t>Home &amp; Garden Item 20</t>
  </si>
  <si>
    <t>ORD-10066</t>
  </si>
  <si>
    <t>ORD-10067</t>
  </si>
  <si>
    <t>Food &amp; Beverage Item 28</t>
  </si>
  <si>
    <t>ORD-10068</t>
  </si>
  <si>
    <t>Sports Item 33</t>
  </si>
  <si>
    <t>ORD-10069</t>
  </si>
  <si>
    <t>Home &amp; Garden Item 42</t>
  </si>
  <si>
    <t>ORD-10070</t>
  </si>
  <si>
    <t>ORD-10071</t>
  </si>
  <si>
    <t>ORD-10072</t>
  </si>
  <si>
    <t>Beauty Item 20</t>
  </si>
  <si>
    <t>ORD-10073</t>
  </si>
  <si>
    <t>Electronics Item 38</t>
  </si>
  <si>
    <t>ORD-10074</t>
  </si>
  <si>
    <t>Sports Item 35</t>
  </si>
  <si>
    <t>ORD-10075</t>
  </si>
  <si>
    <t>Electronics Item 50</t>
  </si>
  <si>
    <t>ORD-10076</t>
  </si>
  <si>
    <t>Feb 2024</t>
  </si>
  <si>
    <t>Home &amp; Garden Item 10</t>
  </si>
  <si>
    <t>ORD-10077</t>
  </si>
  <si>
    <t>ORD-10078</t>
  </si>
  <si>
    <t>Home &amp; Garden Item 31</t>
  </si>
  <si>
    <t>ORD-10079</t>
  </si>
  <si>
    <t>Electronics Item 20</t>
  </si>
  <si>
    <t>ORD-10080</t>
  </si>
  <si>
    <t>ORD-10081</t>
  </si>
  <si>
    <t>Beauty Item 22</t>
  </si>
  <si>
    <t>ORD-10082</t>
  </si>
  <si>
    <t>Electronics Item 19</t>
  </si>
  <si>
    <t>ORD-10083</t>
  </si>
  <si>
    <t>Food &amp; Beverage Item 24</t>
  </si>
  <si>
    <t>ORD-10084</t>
  </si>
  <si>
    <t>ORD-10085</t>
  </si>
  <si>
    <t>Sports Item 34</t>
  </si>
  <si>
    <t>ORD-10086</t>
  </si>
  <si>
    <t>ORD-10087</t>
  </si>
  <si>
    <t>Electronics Item 43</t>
  </si>
  <si>
    <t>ORD-10088</t>
  </si>
  <si>
    <t>ORD-10089</t>
  </si>
  <si>
    <t>Beauty Item 10</t>
  </si>
  <si>
    <t>ORD-10090</t>
  </si>
  <si>
    <t>ORD-10091</t>
  </si>
  <si>
    <t>Beauty Item 16</t>
  </si>
  <si>
    <t>ORD-10092</t>
  </si>
  <si>
    <t>ORD-10093</t>
  </si>
  <si>
    <t>Food &amp; Beverage Item 36</t>
  </si>
  <si>
    <t>ORD-10094</t>
  </si>
  <si>
    <t>Sports Item 04</t>
  </si>
  <si>
    <t>ORD-10095</t>
  </si>
  <si>
    <t>Electronics Item 28</t>
  </si>
  <si>
    <t>ORD-10096</t>
  </si>
  <si>
    <t>Clothing Item 23</t>
  </si>
  <si>
    <t>ORD-10097</t>
  </si>
  <si>
    <t>Home &amp; Garden Item 13</t>
  </si>
  <si>
    <t>ORD-10098</t>
  </si>
  <si>
    <t>ORD-10099</t>
  </si>
  <si>
    <t>Clothing Item 41</t>
  </si>
  <si>
    <t>ORD-10100</t>
  </si>
  <si>
    <t>ORD-10101</t>
  </si>
  <si>
    <t>Sports Item 05</t>
  </si>
  <si>
    <t>ORD-10102</t>
  </si>
  <si>
    <t>ORD-10103</t>
  </si>
  <si>
    <t>Sports Item 13</t>
  </si>
  <si>
    <t>ORD-10104</t>
  </si>
  <si>
    <t>ORD-10105</t>
  </si>
  <si>
    <t>Electronics Item 31</t>
  </si>
  <si>
    <t>ORD-10106</t>
  </si>
  <si>
    <t>Food &amp; Beverage Item 45</t>
  </si>
  <si>
    <t>ORD-10107</t>
  </si>
  <si>
    <t>Beauty Item 45</t>
  </si>
  <si>
    <t>ORD-10108</t>
  </si>
  <si>
    <t>Clothing Item 30</t>
  </si>
  <si>
    <t>ORD-10109</t>
  </si>
  <si>
    <t>Food &amp; Beverage Item 39</t>
  </si>
  <si>
    <t>ORD-10110</t>
  </si>
  <si>
    <t>Clothing Item 45</t>
  </si>
  <si>
    <t>ORD-10111</t>
  </si>
  <si>
    <t>ORD-10112</t>
  </si>
  <si>
    <t>ORD-10113</t>
  </si>
  <si>
    <t>Electronics Item 37</t>
  </si>
  <si>
    <t>ORD-10114</t>
  </si>
  <si>
    <t>ORD-10115</t>
  </si>
  <si>
    <t>ORD-10116</t>
  </si>
  <si>
    <t>ORD-10117</t>
  </si>
  <si>
    <t>Clothing Item 27</t>
  </si>
  <si>
    <t>ORD-10118</t>
  </si>
  <si>
    <t>Electronics Item 22</t>
  </si>
  <si>
    <t>ORD-10119</t>
  </si>
  <si>
    <t>Sports Item 11</t>
  </si>
  <si>
    <t>ORD-10120</t>
  </si>
  <si>
    <t>ORD-10121</t>
  </si>
  <si>
    <t>Food &amp; Beverage Item 30</t>
  </si>
  <si>
    <t>ORD-10122</t>
  </si>
  <si>
    <t>Clothing Item 03</t>
  </si>
  <si>
    <t>ORD-10123</t>
  </si>
  <si>
    <t>Sports Item 32</t>
  </si>
  <si>
    <t>ORD-10124</t>
  </si>
  <si>
    <t>ORD-10125</t>
  </si>
  <si>
    <t>ORD-10126</t>
  </si>
  <si>
    <t>Beauty Item 41</t>
  </si>
  <si>
    <t>ORD-10127</t>
  </si>
  <si>
    <t>ORD-10128</t>
  </si>
  <si>
    <t>Home &amp; Garden Item 45</t>
  </si>
  <si>
    <t>ORD-10129</t>
  </si>
  <si>
    <t>Sports Item 15</t>
  </si>
  <si>
    <t>ORD-10130</t>
  </si>
  <si>
    <t>ORD-10131</t>
  </si>
  <si>
    <t>ORD-10132</t>
  </si>
  <si>
    <t>Clothing Item 14</t>
  </si>
  <si>
    <t>ORD-10133</t>
  </si>
  <si>
    <t>Sports Item 16</t>
  </si>
  <si>
    <t>ORD-10134</t>
  </si>
  <si>
    <t>Beauty Item 31</t>
  </si>
  <si>
    <t>ORD-10135</t>
  </si>
  <si>
    <t>Clothing Item 48</t>
  </si>
  <si>
    <t>ORD-10136</t>
  </si>
  <si>
    <t>Sports Item 50</t>
  </si>
  <si>
    <t>ORD-10137</t>
  </si>
  <si>
    <t>Clothing Item 22</t>
  </si>
  <si>
    <t>ORD-10138</t>
  </si>
  <si>
    <t>Beauty Item 48</t>
  </si>
  <si>
    <t>ORD-10139</t>
  </si>
  <si>
    <t>Beauty Item 25</t>
  </si>
  <si>
    <t>ORD-10140</t>
  </si>
  <si>
    <t>Food &amp; Beverage Item 14</t>
  </si>
  <si>
    <t>ORD-10141</t>
  </si>
  <si>
    <t>Clothing Item 26</t>
  </si>
  <si>
    <t>ORD-10142</t>
  </si>
  <si>
    <t>Electronics Item 12</t>
  </si>
  <si>
    <t>ORD-10143</t>
  </si>
  <si>
    <t>ORD-10144</t>
  </si>
  <si>
    <t>Sports Item 24</t>
  </si>
  <si>
    <t>ORD-10145</t>
  </si>
  <si>
    <t>ORD-10146</t>
  </si>
  <si>
    <t>Beauty Item 05</t>
  </si>
  <si>
    <t>ORD-10147</t>
  </si>
  <si>
    <t>Home &amp; Garden Item 23</t>
  </si>
  <si>
    <t>ORD-10148</t>
  </si>
  <si>
    <t>ORD-10149</t>
  </si>
  <si>
    <t>Home &amp; Garden Item 36</t>
  </si>
  <si>
    <t>ORD-10150</t>
  </si>
  <si>
    <t>Food &amp; Beverage Item 08</t>
  </si>
  <si>
    <t>ORD-10151</t>
  </si>
  <si>
    <t>ORD-10152</t>
  </si>
  <si>
    <t>ORD-10153</t>
  </si>
  <si>
    <t>ORD-10154</t>
  </si>
  <si>
    <t>Food &amp; Beverage Item 13</t>
  </si>
  <si>
    <t>ORD-10155</t>
  </si>
  <si>
    <t>Sports Item 41</t>
  </si>
  <si>
    <t>ORD-10156</t>
  </si>
  <si>
    <t>Clothing Item 38</t>
  </si>
  <si>
    <t>ORD-10157</t>
  </si>
  <si>
    <t>Sports Item 49</t>
  </si>
  <si>
    <t>ORD-10158</t>
  </si>
  <si>
    <t>Beauty Item 24</t>
  </si>
  <si>
    <t>ORD-10159</t>
  </si>
  <si>
    <t>Sports Item 03</t>
  </si>
  <si>
    <t>ORD-10160</t>
  </si>
  <si>
    <t>Home &amp; Garden Item 02</t>
  </si>
  <si>
    <t>ORD-10161</t>
  </si>
  <si>
    <t>ORD-10162</t>
  </si>
  <si>
    <t>ORD-10163</t>
  </si>
  <si>
    <t>ORD-10164</t>
  </si>
  <si>
    <t>ORD-10165</t>
  </si>
  <si>
    <t>Mar 2024</t>
  </si>
  <si>
    <t>ORD-10166</t>
  </si>
  <si>
    <t>Home &amp; Garden Item 17</t>
  </si>
  <si>
    <t>ORD-10167</t>
  </si>
  <si>
    <t>Clothing Item 47</t>
  </si>
  <si>
    <t>ORD-10168</t>
  </si>
  <si>
    <t>Food &amp; Beverage Item 12</t>
  </si>
  <si>
    <t>ORD-10169</t>
  </si>
  <si>
    <t>ORD-10170</t>
  </si>
  <si>
    <t>ORD-10171</t>
  </si>
  <si>
    <t>ORD-10172</t>
  </si>
  <si>
    <t>Clothing Item 12</t>
  </si>
  <si>
    <t>ORD-10173</t>
  </si>
  <si>
    <t>ORD-10174</t>
  </si>
  <si>
    <t>ORD-10175</t>
  </si>
  <si>
    <t>Home &amp; Garden Item 12</t>
  </si>
  <si>
    <t>ORD-10176</t>
  </si>
  <si>
    <t>Food &amp; Beverage Item 17</t>
  </si>
  <si>
    <t>ORD-10177</t>
  </si>
  <si>
    <t>Sports Item 07</t>
  </si>
  <si>
    <t>ORD-10178</t>
  </si>
  <si>
    <t>Food &amp; Beverage Item 02</t>
  </si>
  <si>
    <t>ORD-10179</t>
  </si>
  <si>
    <t>Sports Item 44</t>
  </si>
  <si>
    <t>ORD-10180</t>
  </si>
  <si>
    <t>ORD-10181</t>
  </si>
  <si>
    <t>Food &amp; Beverage Item 25</t>
  </si>
  <si>
    <t>ORD-10182</t>
  </si>
  <si>
    <t>Food &amp; Beverage Item 42</t>
  </si>
  <si>
    <t>ORD-10183</t>
  </si>
  <si>
    <t>Clothing Item 08</t>
  </si>
  <si>
    <t>ORD-10184</t>
  </si>
  <si>
    <t>Sports Item 22</t>
  </si>
  <si>
    <t>ORD-10185</t>
  </si>
  <si>
    <t>Electronics Item 14</t>
  </si>
  <si>
    <t>ORD-10186</t>
  </si>
  <si>
    <t>Clothing Item 20</t>
  </si>
  <si>
    <t>ORD-10187</t>
  </si>
  <si>
    <t>Beauty Item 30</t>
  </si>
  <si>
    <t>ORD-10188</t>
  </si>
  <si>
    <t>ORD-10189</t>
  </si>
  <si>
    <t>Home &amp; Garden Item 24</t>
  </si>
  <si>
    <t>ORD-10190</t>
  </si>
  <si>
    <t>Electronics Item 24</t>
  </si>
  <si>
    <t>ORD-10191</t>
  </si>
  <si>
    <t>Sports Item 43</t>
  </si>
  <si>
    <t>ORD-10192</t>
  </si>
  <si>
    <t>Electronics Item 11</t>
  </si>
  <si>
    <t>ORD-10193</t>
  </si>
  <si>
    <t>Beauty Item 34</t>
  </si>
  <si>
    <t>ORD-10194</t>
  </si>
  <si>
    <t>ORD-10195</t>
  </si>
  <si>
    <t>ORD-10196</t>
  </si>
  <si>
    <t>Food &amp; Beverage Item 46</t>
  </si>
  <si>
    <t>ORD-10197</t>
  </si>
  <si>
    <t>ORD-10198</t>
  </si>
  <si>
    <t>Sports Item 08</t>
  </si>
  <si>
    <t>ORD-10199</t>
  </si>
  <si>
    <t>Food &amp; Beverage Item 10</t>
  </si>
  <si>
    <t>ORD-10200</t>
  </si>
  <si>
    <t>ORD-10201</t>
  </si>
  <si>
    <t>Electronics Item 13</t>
  </si>
  <si>
    <t>ORD-10202</t>
  </si>
  <si>
    <t>ORD-10203</t>
  </si>
  <si>
    <t>Home &amp; Garden Item 35</t>
  </si>
  <si>
    <t>ORD-10204</t>
  </si>
  <si>
    <t>ORD-10205</t>
  </si>
  <si>
    <t>ORD-10206</t>
  </si>
  <si>
    <t>ORD-10207</t>
  </si>
  <si>
    <t>Sports Item 21</t>
  </si>
  <si>
    <t>ORD-10208</t>
  </si>
  <si>
    <t>ORD-10209</t>
  </si>
  <si>
    <t>ORD-10210</t>
  </si>
  <si>
    <t>ORD-10211</t>
  </si>
  <si>
    <t>Food &amp; Beverage Item 16</t>
  </si>
  <si>
    <t>ORD-10212</t>
  </si>
  <si>
    <t>Beauty Item 03</t>
  </si>
  <si>
    <t>ORD-10213</t>
  </si>
  <si>
    <t>ORD-10214</t>
  </si>
  <si>
    <t>Home &amp; Garden Item 40</t>
  </si>
  <si>
    <t>ORD-10215</t>
  </si>
  <si>
    <t>Food &amp; Beverage Item 38</t>
  </si>
  <si>
    <t>ORD-10216</t>
  </si>
  <si>
    <t>ORD-10217</t>
  </si>
  <si>
    <t>ORD-10218</t>
  </si>
  <si>
    <t>ORD-10219</t>
  </si>
  <si>
    <t>Electronics Item 10</t>
  </si>
  <si>
    <t>ORD-10220</t>
  </si>
  <si>
    <t>Beauty Item 21</t>
  </si>
  <si>
    <t>ORD-10221</t>
  </si>
  <si>
    <t>Electronics Item 16</t>
  </si>
  <si>
    <t>ORD-10222</t>
  </si>
  <si>
    <t>ORD-10223</t>
  </si>
  <si>
    <t>Food &amp; Beverage Item 41</t>
  </si>
  <si>
    <t>ORD-10224</t>
  </si>
  <si>
    <t>Food &amp; Beverage Item 18</t>
  </si>
  <si>
    <t>ORD-10225</t>
  </si>
  <si>
    <t>ORD-10226</t>
  </si>
  <si>
    <t>ORD-10227</t>
  </si>
  <si>
    <t>ORD-10228</t>
  </si>
  <si>
    <t>Electronics Item 32</t>
  </si>
  <si>
    <t>ORD-10229</t>
  </si>
  <si>
    <t>Sports Item 14</t>
  </si>
  <si>
    <t>ORD-10230</t>
  </si>
  <si>
    <t>ORD-10231</t>
  </si>
  <si>
    <t>Food &amp; Beverage Item 06</t>
  </si>
  <si>
    <t>ORD-10232</t>
  </si>
  <si>
    <t>Food &amp; Beverage Item 31</t>
  </si>
  <si>
    <t>ORD-10233</t>
  </si>
  <si>
    <t>ORD-10234</t>
  </si>
  <si>
    <t>ORD-10235</t>
  </si>
  <si>
    <t>ORD-10236</t>
  </si>
  <si>
    <t>Food &amp; Beverage Item 11</t>
  </si>
  <si>
    <t>ORD-10237</t>
  </si>
  <si>
    <t>Home &amp; Garden Item 33</t>
  </si>
  <si>
    <t>ORD-10238</t>
  </si>
  <si>
    <t>Apr 2024</t>
  </si>
  <si>
    <t>Electronics Item 25</t>
  </si>
  <si>
    <t>ORD-10239</t>
  </si>
  <si>
    <t>Electronics Item 49</t>
  </si>
  <si>
    <t>ORD-10240</t>
  </si>
  <si>
    <t>ORD-10241</t>
  </si>
  <si>
    <t>ORD-10242</t>
  </si>
  <si>
    <t>ORD-10243</t>
  </si>
  <si>
    <t>ORD-10244</t>
  </si>
  <si>
    <t>Home &amp; Garden Item 32</t>
  </si>
  <si>
    <t>ORD-10245</t>
  </si>
  <si>
    <t>ORD-10246</t>
  </si>
  <si>
    <t>ORD-10247</t>
  </si>
  <si>
    <t>ORD-10248</t>
  </si>
  <si>
    <t>ORD-10249</t>
  </si>
  <si>
    <t>Sports Item 46</t>
  </si>
  <si>
    <t>ORD-10250</t>
  </si>
  <si>
    <t>ORD-10251</t>
  </si>
  <si>
    <t>Food &amp; Beverage Item 34</t>
  </si>
  <si>
    <t>ORD-10252</t>
  </si>
  <si>
    <t>ORD-10253</t>
  </si>
  <si>
    <t>Clothing Item 31</t>
  </si>
  <si>
    <t>ORD-10254</t>
  </si>
  <si>
    <t>Clothing Item 46</t>
  </si>
  <si>
    <t>ORD-10255</t>
  </si>
  <si>
    <t>ORD-10256</t>
  </si>
  <si>
    <t>ORD-10257</t>
  </si>
  <si>
    <t>Sports Item 18</t>
  </si>
  <si>
    <t>ORD-10258</t>
  </si>
  <si>
    <t>ORD-10259</t>
  </si>
  <si>
    <t>Food &amp; Beverage Item 26</t>
  </si>
  <si>
    <t>ORD-10260</t>
  </si>
  <si>
    <t>ORD-10261</t>
  </si>
  <si>
    <t>ORD-10262</t>
  </si>
  <si>
    <t>ORD-10263</t>
  </si>
  <si>
    <t>ORD-10264</t>
  </si>
  <si>
    <t>ORD-10265</t>
  </si>
  <si>
    <t>ORD-10266</t>
  </si>
  <si>
    <t>ORD-10267</t>
  </si>
  <si>
    <t>ORD-10268</t>
  </si>
  <si>
    <t>ORD-10269</t>
  </si>
  <si>
    <t>Home &amp; Garden Item 26</t>
  </si>
  <si>
    <t>ORD-10270</t>
  </si>
  <si>
    <t>ORD-10271</t>
  </si>
  <si>
    <t>ORD-10272</t>
  </si>
  <si>
    <t>Sports Item 28</t>
  </si>
  <si>
    <t>ORD-10273</t>
  </si>
  <si>
    <t>ORD-10274</t>
  </si>
  <si>
    <t>ORD-10275</t>
  </si>
  <si>
    <t>Beauty Item 11</t>
  </si>
  <si>
    <t>ORD-10276</t>
  </si>
  <si>
    <t>Clothing Item 24</t>
  </si>
  <si>
    <t>ORD-10277</t>
  </si>
  <si>
    <t>Electronics Item 17</t>
  </si>
  <si>
    <t>ORD-10278</t>
  </si>
  <si>
    <t>Sports Item 36</t>
  </si>
  <si>
    <t>ORD-10279</t>
  </si>
  <si>
    <t>Home &amp; Garden Item 06</t>
  </si>
  <si>
    <t>ORD-10280</t>
  </si>
  <si>
    <t>Beauty Item 09</t>
  </si>
  <si>
    <t>ORD-10281</t>
  </si>
  <si>
    <t>Home &amp; Garden Item 49</t>
  </si>
  <si>
    <t>ORD-10282</t>
  </si>
  <si>
    <t>ORD-10283</t>
  </si>
  <si>
    <t>Sports Item 19</t>
  </si>
  <si>
    <t>ORD-10284</t>
  </si>
  <si>
    <t>Food &amp; Beverage Item 29</t>
  </si>
  <si>
    <t>ORD-10285</t>
  </si>
  <si>
    <t>Home &amp; Garden Item 34</t>
  </si>
  <si>
    <t>ORD-10286</t>
  </si>
  <si>
    <t>ORD-10287</t>
  </si>
  <si>
    <t>Home &amp; Garden Item 15</t>
  </si>
  <si>
    <t>ORD-10288</t>
  </si>
  <si>
    <t>ORD-10289</t>
  </si>
  <si>
    <t>ORD-10290</t>
  </si>
  <si>
    <t>ORD-10291</t>
  </si>
  <si>
    <t>Electronics Item 33</t>
  </si>
  <si>
    <t>ORD-10292</t>
  </si>
  <si>
    <t>ORD-10293</t>
  </si>
  <si>
    <t>ORD-10294</t>
  </si>
  <si>
    <t>ORD-10295</t>
  </si>
  <si>
    <t>ORD-10296</t>
  </si>
  <si>
    <t>ORD-10297</t>
  </si>
  <si>
    <t>Home &amp; Garden Item 28</t>
  </si>
  <si>
    <t>ORD-10298</t>
  </si>
  <si>
    <t>ORD-10299</t>
  </si>
  <si>
    <t>ORD-10300</t>
  </si>
  <si>
    <t>ORD-10301</t>
  </si>
  <si>
    <t>Food &amp; Beverage Item 21</t>
  </si>
  <si>
    <t>ORD-10302</t>
  </si>
  <si>
    <t>ORD-10303</t>
  </si>
  <si>
    <t>ORD-10304</t>
  </si>
  <si>
    <t>ORD-10305</t>
  </si>
  <si>
    <t>Beauty Item 12</t>
  </si>
  <si>
    <t>ORD-10306</t>
  </si>
  <si>
    <t>ORD-10307</t>
  </si>
  <si>
    <t>ORD-10308</t>
  </si>
  <si>
    <t>ORD-10309</t>
  </si>
  <si>
    <t>ORD-10310</t>
  </si>
  <si>
    <t>Food &amp; Beverage Item 05</t>
  </si>
  <si>
    <t>ORD-10311</t>
  </si>
  <si>
    <t>ORD-10312</t>
  </si>
  <si>
    <t>ORD-10313</t>
  </si>
  <si>
    <t>Clothing Item 19</t>
  </si>
  <si>
    <t>ORD-10314</t>
  </si>
  <si>
    <t>Beauty Item 33</t>
  </si>
  <si>
    <t>ORD-10315</t>
  </si>
  <si>
    <t>ORD-10316</t>
  </si>
  <si>
    <t>Clothing Item 35</t>
  </si>
  <si>
    <t>ORD-10317</t>
  </si>
  <si>
    <t>ORD-10318</t>
  </si>
  <si>
    <t>Clothing Item 06</t>
  </si>
  <si>
    <t>ORD-10319</t>
  </si>
  <si>
    <t>Beauty Item 18</t>
  </si>
  <si>
    <t>ORD-10320</t>
  </si>
  <si>
    <t>ORD-10321</t>
  </si>
  <si>
    <t>ORD-10322</t>
  </si>
  <si>
    <t>ORD-10323</t>
  </si>
  <si>
    <t>ORD-10324</t>
  </si>
  <si>
    <t>May 2024</t>
  </si>
  <si>
    <t>ORD-10325</t>
  </si>
  <si>
    <t>ORD-10326</t>
  </si>
  <si>
    <t>Food &amp; Beverage Item 35</t>
  </si>
  <si>
    <t>ORD-10327</t>
  </si>
  <si>
    <t>ORD-10328</t>
  </si>
  <si>
    <t>ORD-10329</t>
  </si>
  <si>
    <t>ORD-10330</t>
  </si>
  <si>
    <t>Electronics Item 44</t>
  </si>
  <si>
    <t>ORD-10331</t>
  </si>
  <si>
    <t>ORD-10332</t>
  </si>
  <si>
    <t>Sports Item 17</t>
  </si>
  <si>
    <t>ORD-10333</t>
  </si>
  <si>
    <t>ORD-10334</t>
  </si>
  <si>
    <t>ORD-10335</t>
  </si>
  <si>
    <t>Home &amp; Garden Item 50</t>
  </si>
  <si>
    <t>ORD-10336</t>
  </si>
  <si>
    <t>Food &amp; Beverage Item 44</t>
  </si>
  <si>
    <t>ORD-10337</t>
  </si>
  <si>
    <t>Clothing Item 18</t>
  </si>
  <si>
    <t>ORD-10338</t>
  </si>
  <si>
    <t>ORD-10339</t>
  </si>
  <si>
    <t>Home &amp; Garden Item 46</t>
  </si>
  <si>
    <t>ORD-10340</t>
  </si>
  <si>
    <t>Home &amp; Garden Item 39</t>
  </si>
  <si>
    <t>ORD-10341</t>
  </si>
  <si>
    <t>Food &amp; Beverage Item 09</t>
  </si>
  <si>
    <t>ORD-10342</t>
  </si>
  <si>
    <t>ORD-10343</t>
  </si>
  <si>
    <t>ORD-10344</t>
  </si>
  <si>
    <t>ORD-10345</t>
  </si>
  <si>
    <t>ORD-10346</t>
  </si>
  <si>
    <t>ORD-10347</t>
  </si>
  <si>
    <t>ORD-10348</t>
  </si>
  <si>
    <t>Beauty Item 50</t>
  </si>
  <si>
    <t>ORD-10349</t>
  </si>
  <si>
    <t>ORD-10350</t>
  </si>
  <si>
    <t>Home &amp; Garden Item 19</t>
  </si>
  <si>
    <t>ORD-10351</t>
  </si>
  <si>
    <t>ORD-10352</t>
  </si>
  <si>
    <t>ORD-10353</t>
  </si>
  <si>
    <t>ORD-10354</t>
  </si>
  <si>
    <t>Home &amp; Garden Item 38</t>
  </si>
  <si>
    <t>ORD-10355</t>
  </si>
  <si>
    <t>ORD-10356</t>
  </si>
  <si>
    <t>ORD-10357</t>
  </si>
  <si>
    <t>Electronics Item 01</t>
  </si>
  <si>
    <t>ORD-10358</t>
  </si>
  <si>
    <t>ORD-10359</t>
  </si>
  <si>
    <t>Electronics Item 42</t>
  </si>
  <si>
    <t>ORD-10360</t>
  </si>
  <si>
    <t>ORD-10361</t>
  </si>
  <si>
    <t>Clothing Item 49</t>
  </si>
  <si>
    <t>ORD-10362</t>
  </si>
  <si>
    <t>ORD-10363</t>
  </si>
  <si>
    <t>ORD-10364</t>
  </si>
  <si>
    <t>ORD-10365</t>
  </si>
  <si>
    <t>ORD-10366</t>
  </si>
  <si>
    <t>Beauty Item 47</t>
  </si>
  <si>
    <t>ORD-10367</t>
  </si>
  <si>
    <t>Home &amp; Garden Item 48</t>
  </si>
  <si>
    <t>ORD-10368</t>
  </si>
  <si>
    <t>ORD-10369</t>
  </si>
  <si>
    <t>ORD-10370</t>
  </si>
  <si>
    <t>Electronics Item 15</t>
  </si>
  <si>
    <t>ORD-10371</t>
  </si>
  <si>
    <t>ORD-10372</t>
  </si>
  <si>
    <t>ORD-10373</t>
  </si>
  <si>
    <t>Electronics Item 36</t>
  </si>
  <si>
    <t>ORD-10374</t>
  </si>
  <si>
    <t>ORD-10375</t>
  </si>
  <si>
    <t>Home &amp; Garden Item 30</t>
  </si>
  <si>
    <t>ORD-10376</t>
  </si>
  <si>
    <t>Food &amp; Beverage Item 47</t>
  </si>
  <si>
    <t>ORD-10377</t>
  </si>
  <si>
    <t>ORD-10378</t>
  </si>
  <si>
    <t>ORD-10379</t>
  </si>
  <si>
    <t>ORD-10380</t>
  </si>
  <si>
    <t>ORD-10381</t>
  </si>
  <si>
    <t>ORD-10382</t>
  </si>
  <si>
    <t>ORD-10383</t>
  </si>
  <si>
    <t>ORD-10384</t>
  </si>
  <si>
    <t>Electronics Item 45</t>
  </si>
  <si>
    <t>ORD-10385</t>
  </si>
  <si>
    <t>ORD-10386</t>
  </si>
  <si>
    <t>ORD-10387</t>
  </si>
  <si>
    <t>Sports Item 29</t>
  </si>
  <si>
    <t>ORD-10388</t>
  </si>
  <si>
    <t>Electronics Item 29</t>
  </si>
  <si>
    <t>ORD-10389</t>
  </si>
  <si>
    <t>ORD-10390</t>
  </si>
  <si>
    <t>Beauty Item 02</t>
  </si>
  <si>
    <t>ORD-10391</t>
  </si>
  <si>
    <t>ORD-10392</t>
  </si>
  <si>
    <t>ORD-10393</t>
  </si>
  <si>
    <t>Clothing Item 37</t>
  </si>
  <si>
    <t>ORD-10394</t>
  </si>
  <si>
    <t>ORD-10395</t>
  </si>
  <si>
    <t>ORD-10396</t>
  </si>
  <si>
    <t>Food &amp; Beverage Item 48</t>
  </si>
  <si>
    <t>ORD-10397</t>
  </si>
  <si>
    <t>Sports Item 01</t>
  </si>
  <si>
    <t>ORD-10398</t>
  </si>
  <si>
    <t>Food &amp; Beverage Item 32</t>
  </si>
  <si>
    <t>ORD-10399</t>
  </si>
  <si>
    <t>ORD-10400</t>
  </si>
  <si>
    <t>Food &amp; Beverage Item 23</t>
  </si>
  <si>
    <t>ORD-10401</t>
  </si>
  <si>
    <t>ORD-10402</t>
  </si>
  <si>
    <t>ORD-10403</t>
  </si>
  <si>
    <t>ORD-10404</t>
  </si>
  <si>
    <t>ORD-10405</t>
  </si>
  <si>
    <t>ORD-10406</t>
  </si>
  <si>
    <t>ORD-10407</t>
  </si>
  <si>
    <t>ORD-10408</t>
  </si>
  <si>
    <t>ORD-10409</t>
  </si>
  <si>
    <t>ORD-10410</t>
  </si>
  <si>
    <t>ORD-10411</t>
  </si>
  <si>
    <t>Beauty Item 35</t>
  </si>
  <si>
    <t>ORD-10412</t>
  </si>
  <si>
    <t>ORD-10413</t>
  </si>
  <si>
    <t>ORD-10414</t>
  </si>
  <si>
    <t>ORD-10415</t>
  </si>
  <si>
    <t>ORD-10416</t>
  </si>
  <si>
    <t>ORD-10417</t>
  </si>
  <si>
    <t>ORD-10418</t>
  </si>
  <si>
    <t>ORD-10419</t>
  </si>
  <si>
    <t>ORD-10420</t>
  </si>
  <si>
    <t>ORD-10421</t>
  </si>
  <si>
    <t>Beauty Item 37</t>
  </si>
  <si>
    <t>ORD-10422</t>
  </si>
  <si>
    <t>ORD-10423</t>
  </si>
  <si>
    <t>ORD-10424</t>
  </si>
  <si>
    <t>Clothing Item 39</t>
  </si>
  <si>
    <t>ORD-10425</t>
  </si>
  <si>
    <t>Sports Item 37</t>
  </si>
  <si>
    <t>ORD-10426</t>
  </si>
  <si>
    <t>ORD-10427</t>
  </si>
  <si>
    <t>ORD-10428</t>
  </si>
  <si>
    <t>ORD-10429</t>
  </si>
  <si>
    <t>Jun 2024</t>
  </si>
  <si>
    <t>Beauty Item 26</t>
  </si>
  <si>
    <t>ORD-10430</t>
  </si>
  <si>
    <t>ORD-10431</t>
  </si>
  <si>
    <t>ORD-10432</t>
  </si>
  <si>
    <t>ORD-10433</t>
  </si>
  <si>
    <t>ORD-10434</t>
  </si>
  <si>
    <t>ORD-10435</t>
  </si>
  <si>
    <t>Clothing Item 07</t>
  </si>
  <si>
    <t>ORD-10436</t>
  </si>
  <si>
    <t>ORD-10437</t>
  </si>
  <si>
    <t>ORD-10438</t>
  </si>
  <si>
    <t>Clothing Item 29</t>
  </si>
  <si>
    <t>ORD-10439</t>
  </si>
  <si>
    <t>ORD-10440</t>
  </si>
  <si>
    <t>ORD-10441</t>
  </si>
  <si>
    <t>ORD-10442</t>
  </si>
  <si>
    <t>Home &amp; Garden Item 11</t>
  </si>
  <si>
    <t>ORD-10443</t>
  </si>
  <si>
    <t>Beauty Item 07</t>
  </si>
  <si>
    <t>ORD-10444</t>
  </si>
  <si>
    <t>ORD-10445</t>
  </si>
  <si>
    <t>ORD-10446</t>
  </si>
  <si>
    <t>ORD-10447</t>
  </si>
  <si>
    <t>ORD-10448</t>
  </si>
  <si>
    <t>ORD-10449</t>
  </si>
  <si>
    <t>ORD-10450</t>
  </si>
  <si>
    <t>ORD-10451</t>
  </si>
  <si>
    <t>Sports Item 02</t>
  </si>
  <si>
    <t>ORD-10452</t>
  </si>
  <si>
    <t>ORD-10453</t>
  </si>
  <si>
    <t>ORD-10454</t>
  </si>
  <si>
    <t>ORD-10455</t>
  </si>
  <si>
    <t>ORD-10456</t>
  </si>
  <si>
    <t>Food &amp; Beverage Item 19</t>
  </si>
  <si>
    <t>ORD-10457</t>
  </si>
  <si>
    <t>Beauty Item 14</t>
  </si>
  <si>
    <t>ORD-10458</t>
  </si>
  <si>
    <t>ORD-10459</t>
  </si>
  <si>
    <t>ORD-10460</t>
  </si>
  <si>
    <t>ORD-10461</t>
  </si>
  <si>
    <t>ORD-10462</t>
  </si>
  <si>
    <t>ORD-10463</t>
  </si>
  <si>
    <t>ORD-10464</t>
  </si>
  <si>
    <t>ORD-10465</t>
  </si>
  <si>
    <t>ORD-10466</t>
  </si>
  <si>
    <t>ORD-10467</t>
  </si>
  <si>
    <t>Clothing Item 01</t>
  </si>
  <si>
    <t>ORD-10468</t>
  </si>
  <si>
    <t>ORD-10469</t>
  </si>
  <si>
    <t>Clothing Item 21</t>
  </si>
  <si>
    <t>ORD-10470</t>
  </si>
  <si>
    <t>ORD-10471</t>
  </si>
  <si>
    <t>ORD-10472</t>
  </si>
  <si>
    <t>Clothing Item 11</t>
  </si>
  <si>
    <t>ORD-10473</t>
  </si>
  <si>
    <t>Beauty Item 08</t>
  </si>
  <si>
    <t>ORD-10474</t>
  </si>
  <si>
    <t>Electronics Item 09</t>
  </si>
  <si>
    <t>ORD-10475</t>
  </si>
  <si>
    <t>ORD-10476</t>
  </si>
  <si>
    <t>ORD-10477</t>
  </si>
  <si>
    <t>ORD-10478</t>
  </si>
  <si>
    <t>ORD-10479</t>
  </si>
  <si>
    <t>Home &amp; Garden Item 05</t>
  </si>
  <si>
    <t>ORD-10480</t>
  </si>
  <si>
    <t>Clothing Item 25</t>
  </si>
  <si>
    <t>ORD-10481</t>
  </si>
  <si>
    <t>ORD-10482</t>
  </si>
  <si>
    <t>ORD-10483</t>
  </si>
  <si>
    <t>ORD-10484</t>
  </si>
  <si>
    <t>ORD-10485</t>
  </si>
  <si>
    <t>ORD-10486</t>
  </si>
  <si>
    <t>ORD-10487</t>
  </si>
  <si>
    <t>Clothing Item 43</t>
  </si>
  <si>
    <t>ORD-10488</t>
  </si>
  <si>
    <t>ORD-10489</t>
  </si>
  <si>
    <t>ORD-10490</t>
  </si>
  <si>
    <t>Electronics Item 39</t>
  </si>
  <si>
    <t>ORD-10491</t>
  </si>
  <si>
    <t>ORD-10492</t>
  </si>
  <si>
    <t>ORD-10493</t>
  </si>
  <si>
    <t>ORD-10494</t>
  </si>
  <si>
    <t>Clothing Item 13</t>
  </si>
  <si>
    <t>ORD-10495</t>
  </si>
  <si>
    <t>Food &amp; Beverage Item 33</t>
  </si>
  <si>
    <t>ORD-10496</t>
  </si>
  <si>
    <t>ORD-10497</t>
  </si>
  <si>
    <t>Beauty Item 44</t>
  </si>
  <si>
    <t>ORD-10498</t>
  </si>
  <si>
    <t>ORD-10499</t>
  </si>
  <si>
    <t>ORD-10500</t>
  </si>
  <si>
    <t>ORD-10501</t>
  </si>
  <si>
    <t>ORD-10502</t>
  </si>
  <si>
    <t>Sports Item 10</t>
  </si>
  <si>
    <t>ORD-10503</t>
  </si>
  <si>
    <t>ORD-10504</t>
  </si>
  <si>
    <t>ORD-10505</t>
  </si>
  <si>
    <t>ORD-10506</t>
  </si>
  <si>
    <t>ORD-10507</t>
  </si>
  <si>
    <t>Jul 2024</t>
  </si>
  <si>
    <t>ORD-10508</t>
  </si>
  <si>
    <t>ORD-10509</t>
  </si>
  <si>
    <t>ORD-10510</t>
  </si>
  <si>
    <t>ORD-10511</t>
  </si>
  <si>
    <t>ORD-10512</t>
  </si>
  <si>
    <t>ORD-10513</t>
  </si>
  <si>
    <t>ORD-10514</t>
  </si>
  <si>
    <t>ORD-10515</t>
  </si>
  <si>
    <t>Home &amp; Garden Item 03</t>
  </si>
  <si>
    <t>ORD-10516</t>
  </si>
  <si>
    <t>Sports Item 48</t>
  </si>
  <si>
    <t>ORD-10517</t>
  </si>
  <si>
    <t>ORD-10518</t>
  </si>
  <si>
    <t>ORD-10519</t>
  </si>
  <si>
    <t>ORD-10520</t>
  </si>
  <si>
    <t>ORD-10521</t>
  </si>
  <si>
    <t>ORD-10522</t>
  </si>
  <si>
    <t>Sports Item 45</t>
  </si>
  <si>
    <t>ORD-10523</t>
  </si>
  <si>
    <t>ORD-10524</t>
  </si>
  <si>
    <t>ORD-10525</t>
  </si>
  <si>
    <t>ORD-10526</t>
  </si>
  <si>
    <t>Food &amp; Beverage Item 40</t>
  </si>
  <si>
    <t>ORD-10527</t>
  </si>
  <si>
    <t>ORD-10528</t>
  </si>
  <si>
    <t>Electronics Item 27</t>
  </si>
  <si>
    <t>ORD-10529</t>
  </si>
  <si>
    <t>ORD-10530</t>
  </si>
  <si>
    <t>ORD-10531</t>
  </si>
  <si>
    <t>ORD-10532</t>
  </si>
  <si>
    <t>ORD-10533</t>
  </si>
  <si>
    <t>ORD-10534</t>
  </si>
  <si>
    <t>ORD-10535</t>
  </si>
  <si>
    <t>ORD-10536</t>
  </si>
  <si>
    <t>Beauty Item 43</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</si>
  <si>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</si>
  <si>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</si>
  <si>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</si>
  <si>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</si>
  <si>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</si>
  <si>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</si>
  <si>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</si>
  <si>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</si>
  <si>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</si>
  <si>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</si>
  <si>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</si>
  <si>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</si>
  <si>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</si>
  <si>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</si>
  <si>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</si>
  <si>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</si>
  <si>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</si>
  <si>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</si>
  <si>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</si>
  <si>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</si>
  <si>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</si>
  <si>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</si>
  <si>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</si>
  <si>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</si>
  <si>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</si>
  <si>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</si>
  <si>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</si>
  <si>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</si>
  <si>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</si>
  <si>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</si>
  <si>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Food &amp; Beverage Item 50</t>
  </si>
  <si>
    <t>ORD-10567</t>
  </si>
  <si>
    <t>ORD-10568</t>
  </si>
  <si>
    <t>Home &amp; Garden Item 21</t>
  </si>
  <si>
    <t>ORD-10569</t>
  </si>
  <si>
    <t>Sports Item 27</t>
  </si>
  <si>
    <t>ORD-10570</t>
  </si>
  <si>
    <t>ORD-10571</t>
  </si>
  <si>
    <t>ORD-10572</t>
  </si>
  <si>
    <t>ORD-10573</t>
  </si>
  <si>
    <t>Home &amp; Garden Item 14</t>
  </si>
  <si>
    <t>ORD-10574</t>
  </si>
  <si>
    <t>ORD-10575</t>
  </si>
  <si>
    <t>ORD-10576</t>
  </si>
  <si>
    <t>ORD-10577</t>
  </si>
  <si>
    <t>ORD-10578</t>
  </si>
  <si>
    <t>Aug 2024</t>
  </si>
  <si>
    <t>ORD-10579</t>
  </si>
  <si>
    <t>Electronics Item 41</t>
  </si>
  <si>
    <t>ORD-10580</t>
  </si>
  <si>
    <t>ORD-10581</t>
  </si>
  <si>
    <t>ORD-10582</t>
  </si>
  <si>
    <t>Electronics Item 48</t>
  </si>
  <si>
    <t>ORD-10583</t>
  </si>
  <si>
    <t>ORD-10584</t>
  </si>
  <si>
    <t>ORD-10585</t>
  </si>
  <si>
    <t>ORD-10586</t>
  </si>
  <si>
    <t>ORD-10587</t>
  </si>
  <si>
    <t>ORD-10588</t>
  </si>
  <si>
    <t>ORD-10589</t>
  </si>
  <si>
    <t>ORD-10590</t>
  </si>
  <si>
    <t>ORD-10591</t>
  </si>
  <si>
    <t>ORD-10592</t>
  </si>
  <si>
    <t>ORD-10593</t>
  </si>
  <si>
    <t>ORD-10594</t>
  </si>
  <si>
    <t>ORD-10595</t>
  </si>
  <si>
    <t>ORD-10596</t>
  </si>
  <si>
    <t>ORD-10597</t>
  </si>
  <si>
    <t>Food &amp; Beverage Item 43</t>
  </si>
  <si>
    <t>ORD-10598</t>
  </si>
  <si>
    <t>ORD-10599</t>
  </si>
  <si>
    <t>ORD-10600</t>
  </si>
  <si>
    <t>ORD-10601</t>
  </si>
  <si>
    <t>ORD-10602</t>
  </si>
  <si>
    <t>ORD-10603</t>
  </si>
  <si>
    <t>ORD-10604</t>
  </si>
  <si>
    <t>ORD-10605</t>
  </si>
  <si>
    <t>ORD-10606</t>
  </si>
  <si>
    <t>ORD-10607</t>
  </si>
  <si>
    <t>Beauty Item 46</t>
  </si>
  <si>
    <t>ORD-10608</t>
  </si>
  <si>
    <t>ORD-10609</t>
  </si>
  <si>
    <t>ORD-10610</t>
  </si>
  <si>
    <t>ORD-10611</t>
  </si>
  <si>
    <t>ORD-10612</t>
  </si>
  <si>
    <t>ORD-10613</t>
  </si>
  <si>
    <t>ORD-10614</t>
  </si>
  <si>
    <t>ORD-10615</t>
  </si>
  <si>
    <t>ORD-10616</t>
  </si>
  <si>
    <t>Home &amp; Garden Item 07</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</si>
  <si>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</si>
  <si>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</si>
  <si>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</si>
  <si>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</si>
  <si>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</si>
  <si>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</si>
  <si>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</si>
  <si>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</si>
  <si>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</si>
  <si>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</si>
  <si>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</si>
  <si>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</si>
  <si>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</si>
  <si>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</si>
  <si>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</si>
  <si>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</si>
  <si>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</si>
  <si>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</si>
  <si>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</si>
  <si>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</si>
  <si>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</si>
  <si>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</si>
  <si>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</si>
  <si>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</si>
  <si>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</si>
  <si>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</si>
  <si>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</si>
  <si>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</si>
  <si>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</si>
  <si>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Sports Item 42</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</si>
  <si>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</si>
  <si>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</si>
  <si>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</si>
  <si>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</si>
  <si>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</si>
  <si>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</si>
  <si>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</si>
  <si>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</si>
  <si>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</si>
  <si>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</si>
  <si>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</si>
  <si>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</si>
  <si>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</si>
  <si>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</si>
  <si>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</si>
  <si>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</si>
  <si>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</si>
  <si>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</si>
  <si>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</si>
  <si>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</si>
  <si>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</si>
  <si>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Electronics Item 06</t>
  </si>
  <si>
    <t>ORD-10667</t>
  </si>
  <si>
    <t>ORD-10668</t>
  </si>
  <si>
    <t>ORD-10669</t>
  </si>
  <si>
    <t>Clothing Item 02</t>
  </si>
  <si>
    <t>ORD-10670</t>
  </si>
  <si>
    <t>ORD-10671</t>
  </si>
  <si>
    <t>ORD-10672</t>
  </si>
  <si>
    <t>ORD-10673</t>
  </si>
  <si>
    <t>ORD-10674</t>
  </si>
  <si>
    <t>Sep 2024</t>
  </si>
  <si>
    <t>ORD-10675</t>
  </si>
  <si>
    <t>ORD-10676</t>
  </si>
  <si>
    <t>ORD-10677</t>
  </si>
  <si>
    <t>ORD-10678</t>
  </si>
  <si>
    <t>ORD-10679</t>
  </si>
  <si>
    <t>ORD-10680</t>
  </si>
  <si>
    <t>Sports Item 47</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</si>
  <si>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</si>
  <si>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</si>
  <si>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</si>
  <si>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</si>
  <si>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</si>
  <si>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</si>
  <si>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</si>
  <si>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</si>
  <si>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</si>
  <si>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</si>
  <si>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</si>
  <si>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</si>
  <si>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</si>
  <si>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</si>
  <si>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</si>
  <si>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</si>
  <si>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Home &amp; Garden Item 08</t>
  </si>
  <si>
    <t>ORD-10697</t>
  </si>
  <si>
    <t>ORD-10698</t>
  </si>
  <si>
    <t>ORD-10699</t>
  </si>
  <si>
    <t>ORD-10700</t>
  </si>
  <si>
    <t>Beauty Item 23</t>
  </si>
  <si>
    <t>ORD-10701</t>
  </si>
  <si>
    <t>Electronics Item 21</t>
  </si>
  <si>
    <t>ORD-10702</t>
  </si>
  <si>
    <t>ORD-10703</t>
  </si>
  <si>
    <t>ORD-10704</t>
  </si>
  <si>
    <t>ORD-10705</t>
  </si>
  <si>
    <t>Clothing Item 42</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</si>
  <si>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</si>
  <si>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</si>
  <si>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</si>
  <si>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</si>
  <si>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</si>
  <si>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</si>
  <si>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</si>
  <si>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</si>
  <si>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</si>
  <si>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</si>
  <si>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</si>
  <si>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</si>
  <si>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</si>
  <si>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</si>
  <si>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</si>
  <si>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</si>
  <si>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Beauty Item 27</t>
  </si>
  <si>
    <t>ORD-10722</t>
  </si>
  <si>
    <t>ORD-10723</t>
  </si>
  <si>
    <t>ORD-10724</t>
  </si>
  <si>
    <t>ORD-10725</t>
  </si>
  <si>
    <t>ORD-10726</t>
  </si>
  <si>
    <t>ORD-10727</t>
  </si>
  <si>
    <t>ORD-10728</t>
  </si>
  <si>
    <t>Electronics Item 35</t>
  </si>
  <si>
    <t>ORD-10729</t>
  </si>
  <si>
    <t>ORD-10730</t>
  </si>
  <si>
    <t>ORD-10731</t>
  </si>
  <si>
    <t>ORD-10732</t>
  </si>
  <si>
    <t>ORD-10733</t>
  </si>
  <si>
    <t>ORD-10734</t>
  </si>
  <si>
    <t>ORD-10735</t>
  </si>
  <si>
    <t>ORD-10736</t>
  </si>
  <si>
    <t>ORD-10737</t>
  </si>
  <si>
    <t>ORD-10738</t>
  </si>
  <si>
    <t>Oct 2024</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</si>
  <si>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</si>
  <si>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</si>
  <si>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</si>
  <si>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</si>
  <si>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</si>
  <si>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</si>
  <si>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</si>
  <si>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</si>
  <si>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</si>
  <si>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</si>
  <si>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</si>
  <si>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</si>
  <si>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</si>
  <si>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</si>
  <si>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</si>
  <si>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</si>
  <si>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</si>
  <si>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</si>
  <si>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</si>
  <si>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</si>
  <si>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</si>
  <si>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</si>
  <si>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</si>
  <si>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</si>
  <si>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</si>
  <si>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</si>
  <si>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</si>
  <si>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</si>
  <si>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</si>
  <si>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</si>
  <si>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Beauty Item 49</t>
  </si>
  <si>
    <t>ORD-10769</t>
  </si>
  <si>
    <t>ORD-10770</t>
  </si>
  <si>
    <t>ORD-10771</t>
  </si>
  <si>
    <t>ORD-10772</t>
  </si>
  <si>
    <t>ORD-10773</t>
  </si>
  <si>
    <t>ORD-10774</t>
  </si>
  <si>
    <t>ORD-10775</t>
  </si>
  <si>
    <t>ORD-10776</t>
  </si>
  <si>
    <t>ORD-10777</t>
  </si>
  <si>
    <t>ORD-10778</t>
  </si>
  <si>
    <t>ORD-10779</t>
  </si>
  <si>
    <t>ORD-10780</t>
  </si>
  <si>
    <t>ORD-10781</t>
  </si>
  <si>
    <t>Clothing Item 32</t>
  </si>
  <si>
    <t>ORD-10782</t>
  </si>
  <si>
    <t>ORD-10783</t>
  </si>
  <si>
    <t>ORD-10784</t>
  </si>
  <si>
    <t>Clothing Item 10</t>
  </si>
  <si>
    <t>ORD-10785</t>
  </si>
  <si>
    <t>ORD-10786</t>
  </si>
  <si>
    <t>ORD-10787</t>
  </si>
  <si>
    <t>ORD-10788</t>
  </si>
  <si>
    <t>Electronics Item 03</t>
  </si>
  <si>
    <t>ORD-10789</t>
  </si>
  <si>
    <t>Clothing Item 16</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</si>
  <si>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</si>
  <si>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</si>
  <si>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</si>
  <si>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</si>
  <si>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</si>
  <si>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</si>
  <si>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</si>
  <si>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</si>
  <si>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</si>
  <si>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</si>
  <si>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</si>
  <si>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</si>
  <si>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</si>
  <si>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</si>
  <si>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</si>
  <si>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</si>
  <si>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</si>
  <si>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</si>
  <si>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</si>
  <si>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</si>
  <si>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</si>
  <si>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</si>
  <si>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</si>
  <si>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</si>
  <si>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</si>
  <si>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</si>
  <si>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</si>
  <si>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</si>
  <si>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</si>
  <si>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</si>
  <si>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</si>
  <si>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</si>
  <si>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</si>
  <si>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</si>
  <si>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</si>
  <si>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</si>
  <si>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</si>
  <si>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</si>
  <si>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</si>
  <si>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</si>
  <si>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</si>
  <si>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</si>
  <si>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</si>
  <si>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</si>
  <si>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Beauty Item 04</t>
  </si>
  <si>
    <t>ORD-10834</t>
  </si>
  <si>
    <t>ORD-10835</t>
  </si>
  <si>
    <t>Nov 2024</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</si>
  <si>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</si>
  <si>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</si>
  <si>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</si>
  <si>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</si>
  <si>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</si>
  <si>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</si>
  <si>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</si>
  <si>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</si>
  <si>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</si>
  <si>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</si>
  <si>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</si>
  <si>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</si>
  <si>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</si>
  <si>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</si>
  <si>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</si>
  <si>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</si>
  <si>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</si>
  <si>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</si>
  <si>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</si>
  <si>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</si>
  <si>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</si>
  <si>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</si>
  <si>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</si>
  <si>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Sports Item 20</t>
  </si>
  <si>
    <t>ORD-10859</t>
  </si>
  <si>
    <t>ORD-10860</t>
  </si>
  <si>
    <t>ORD-10861</t>
  </si>
  <si>
    <t>ORD-10862</t>
  </si>
  <si>
    <t>ORD-10863</t>
  </si>
  <si>
    <t>ORD-10864</t>
  </si>
  <si>
    <t>Home &amp; Garden Item 18</t>
  </si>
  <si>
    <t>ORD-10865</t>
  </si>
  <si>
    <t>ORD-10866</t>
  </si>
  <si>
    <t>Sports Item 06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</si>
  <si>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</si>
  <si>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</si>
  <si>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</si>
  <si>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</si>
  <si>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</si>
  <si>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</si>
  <si>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</si>
  <si>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</si>
  <si>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</si>
  <si>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</si>
  <si>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</si>
  <si>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</si>
  <si>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</si>
  <si>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</si>
  <si>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</si>
  <si>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</si>
  <si>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</si>
  <si>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</si>
  <si>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</si>
  <si>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Beauty Item 06</t>
  </si>
  <si>
    <t>ORD-10886</t>
  </si>
  <si>
    <t>ORD-10887</t>
  </si>
  <si>
    <t>ORD-10888</t>
  </si>
  <si>
    <t>ORD-10889</t>
  </si>
  <si>
    <t>ORD-10890</t>
  </si>
  <si>
    <t>ORD-10891</t>
  </si>
  <si>
    <t>Clothing Item 36</t>
  </si>
  <si>
    <t>ORD-10892</t>
  </si>
  <si>
    <t>Home &amp; Garden Item 47</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</si>
  <si>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</si>
  <si>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</si>
  <si>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</si>
  <si>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</si>
  <si>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</si>
  <si>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</si>
  <si>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</si>
  <si>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</si>
  <si>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</si>
  <si>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</si>
  <si>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</si>
  <si>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</si>
  <si>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</si>
  <si>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</si>
  <si>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</si>
  <si>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</si>
  <si>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</si>
  <si>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</si>
  <si>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</si>
  <si>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Dec 2024</t>
  </si>
  <si>
    <t>ORD-10912</t>
  </si>
  <si>
    <t>ORD-10913</t>
  </si>
  <si>
    <t>ORD-10914</t>
  </si>
  <si>
    <t>ORD-10915</t>
  </si>
  <si>
    <t>ORD-10916</t>
  </si>
  <si>
    <t>ORD-10917</t>
  </si>
  <si>
    <t>ORD-10918</t>
  </si>
  <si>
    <t>ORD-10919</t>
  </si>
  <si>
    <t>Electronics Item 26</t>
  </si>
  <si>
    <t>ORD-10920</t>
  </si>
  <si>
    <t>ORD-10921</t>
  </si>
  <si>
    <t>ORD-10922</t>
  </si>
  <si>
    <t>ORD-10923</t>
  </si>
  <si>
    <t>ORD-10924</t>
  </si>
  <si>
    <t>ORD-10925</t>
  </si>
  <si>
    <t>ORD-10926</t>
  </si>
  <si>
    <t>ORD-10927</t>
  </si>
  <si>
    <t>ORD-10928</t>
  </si>
  <si>
    <t>ORD-10929</t>
  </si>
  <si>
    <t>ORD-10930</t>
  </si>
  <si>
    <t>ORD-10931</t>
  </si>
  <si>
    <t>ORD-10932</t>
  </si>
  <si>
    <t>Electronics Item 08</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</si>
  <si>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</si>
  <si>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</si>
  <si>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</si>
  <si>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</si>
  <si>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</si>
  <si>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</si>
  <si>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</si>
  <si>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</si>
  <si>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</si>
  <si>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</si>
  <si>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</si>
  <si>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</si>
  <si>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</si>
  <si>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</si>
  <si>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</si>
  <si>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</si>
  <si>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</si>
  <si>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</si>
  <si>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</si>
  <si>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</si>
  <si>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</si>
  <si>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</si>
  <si>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</si>
  <si>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</si>
  <si>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</si>
  <si>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</si>
  <si>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</si>
  <si>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</si>
  <si>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</si>
  <si>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</si>
  <si>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</si>
  <si>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</si>
  <si>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</si>
  <si>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</si>
  <si>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</si>
  <si>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</si>
  <si>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</si>
  <si>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</si>
  <si>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</si>
  <si>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</si>
  <si>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</si>
  <si>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</si>
  <si>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</si>
  <si>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</si>
  <si>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</si>
  <si>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</si>
  <si>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</si>
  <si>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</si>
  <si>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</si>
  <si>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</si>
  <si>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Clothing Item 50</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</si>
  <si>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</si>
  <si>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</si>
  <si>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</si>
  <si>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</si>
  <si>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</si>
  <si>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</si>
  <si>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</si>
  <si>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</si>
  <si>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</si>
  <si>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</si>
  <si>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</si>
  <si>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</si>
  <si>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</si>
  <si>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</si>
  <si>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</si>
  <si>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</si>
  <si>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</si>
  <si>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MONTHLY PERFORMANCE</t>
  </si>
  <si>
    <t>REVENUE BY REGION</t>
  </si>
  <si>
    <t>REVENUE BY CATEGORY</t>
  </si>
  <si>
    <t>SALES REP PERFORMANCE</t>
  </si>
  <si>
    <t>REVENUE BY CHANNEL</t>
  </si>
  <si>
    <t>Orders</t>
  </si>
  <si>
    <t>Net_Revenue</t>
  </si>
  <si>
    <t>Gross_Profit</t>
  </si>
  <si>
    <t>Avg_Order_Value</t>
  </si>
  <si>
    <t>Gross_Margin_%</t>
  </si>
  <si>
    <t>Avg_Satisfaction</t>
  </si>
  <si>
    <t>Sum of Net Revenue ($)</t>
  </si>
  <si>
    <t>Sum of Gross Profit ($)</t>
  </si>
  <si>
    <t>Row Labels</t>
  </si>
  <si>
    <t>Count of Order ID</t>
  </si>
  <si>
    <t>gross revenue%</t>
  </si>
  <si>
    <t>Average of Discount %</t>
  </si>
  <si>
    <t>Average of Customer Satisfaction</t>
  </si>
  <si>
    <t>Sum of Net Revenue ($)2</t>
  </si>
  <si>
    <t>MAX</t>
  </si>
  <si>
    <t>▼</t>
  </si>
  <si>
    <t>▲</t>
  </si>
  <si>
    <t>Q1</t>
  </si>
  <si>
    <t>Q2</t>
  </si>
  <si>
    <t>Q3</t>
  </si>
  <si>
    <t>Q4</t>
  </si>
  <si>
    <t>Year</t>
  </si>
  <si>
    <t xml:space="preserve"> QoQ Revenue Growth</t>
  </si>
  <si>
    <t>Aug</t>
  </si>
  <si>
    <t>Dec</t>
  </si>
  <si>
    <t>Jul</t>
  </si>
  <si>
    <t>Nov</t>
  </si>
  <si>
    <t>Oct</t>
  </si>
  <si>
    <t>Sep</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</si>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</sst>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yyyy\-mm\-dd\ hh:mm:ss"/>
    <numFmt numFmtId="165" formatCode="\$#,##0.00"/>
    <numFmt numFmtId="166" formatCode="0.0&quot;%&quot;"/>
    <numFmt numFmtId="167" formatCode="\$#,##0"/>
    <numFmt numFmtId="168" formatCode="[$$-C09]#,##0"/>
    <numFmt numFmtId="169" formatCode="[$$-409]#,##0.00"/>
    <numFmt numFmtId="170" formatCode="\$#,##0.00,,&quot;M&quot;"/>
    <numFmt numFmtId="171" formatCode="\$#,##0,\k"/>
    <numFmt numFmtId="177" formatCode="0.0%"/>
  </numFmts>
  <fonts count="12" x14ac:knownFonts="1">
    <font>
      <sz val="11"/>
      <color theme="1"/>
      <name val="Calibri"/>
      <family val="2"/>
      <scheme val="minor"/>
    </font>
    <font>
      <b/>
      <sz val="10"/>
      <color rgb="FFFFFFFF"/>
      <name val="Arial"/>
      <family val="2"/>
    </font>
    <font>
      <sz val="9"/>
      <color rgb="FF404040"/>
      <name val="Arial"/>
      <family val="2"/>
    </font>
    <font>
      <b/>
      <sz val="11"/>
      <color rgb="FFFFFFFF"/>
      <name val="Arial"/>
      <family val="2"/>
    </font>
    <font>
      <b/>
      <sz val="9"/>
      <color rgb="FFFFFFFF"/>
      <name val="Arial"/>
      <family val="2"/>
    </font>
    <font>
      <sz val="11"/>
      <color theme="1"/>
      <name val="Calibri"/>
      <family val="2"/>
      <scheme val="minor"/>
    </font>
    <font>
      <sz val="11"/>
      <color rgb="FFFF0000"/>
      <name val="Calibri"/>
      <family val="2"/>
      <scheme val="minor"/>
    </font>
    <font>
      <sz val="11"/>
      <color theme="0"/>
      <name val="Calibri"/>
      <family val="2"/>
      <scheme val="minor"/>
    </font>
    <font>
      <b/>
      <sz val="10"/>
      <color rgb="FFFFFFFF"/>
      <name val="Arial"/>
      <family val="2"/>
    </font>
    <font>
      <sz val="9"/>
      <color rgb="FF404040"/>
      <name val="Arial"/>
      <family val="2"/>
    </font>
    <font>
      <sz val="8"/>
      <name val="Calibri"/>
      <family val="2"/>
      <scheme val="minor"/>
    </font>
    <font>
      <i/>
      <sz val="11"/>
      <color theme="1"/>
      <name val="Calibri"/>
      <family val="2"/>
      <scheme val="minor"/>
    </font>
  </fonts>
  <fills count="8">
    <fill>
      <patternFill patternType="none"/>
    </fill>
    <fill>
      <patternFill patternType="gray125"/>
    </fill>
    <fill>
      <patternFill patternType="solid">
        <fgColor rgb="FF1F3864"/>
      </patternFill>
    </fill>
    <fill>
      <patternFill patternType="solid">
        <fgColor rgb="FFF2F2F2"/>
      </patternFill>
    </fill>
    <fill>
      <patternFill patternType="solid">
        <fgColor rgb="FFFFFFFF"/>
      </patternFill>
    </fill>
    <fill>
      <patternFill patternType="solid">
        <fgColor rgb="FF2E75B6"/>
      </patternFill>
    </fill>
    <fill>
      <patternFill patternType="solid">
        <fgColor rgb="FFD6E4F0"/>
      </patternFill>
    </fill>
    <fill>
      <patternFill patternType="solid">
        <fgColor theme="0"/>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2">
    <xf numFmtId="0" fontId="0" fillId="0" borderId="0"/>
    <xf numFmtId="9" fontId="5" fillId="0" borderId="0" applyFont="0" applyFill="0" applyBorder="0" applyAlignment="0" applyProtection="0"/>
  </cellStyleXfs>
  <cellXfs count="68">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vertical="center"/>
    </xf>
    <xf numFmtId="166" fontId="2" fillId="3" borderId="1" xfId="0" applyNumberFormat="1" applyFont="1" applyFill="1" applyBorder="1" applyAlignment="1">
      <alignment vertical="center"/>
    </xf>
    <xf numFmtId="0" fontId="2" fillId="4" borderId="1" xfId="0" applyFont="1" applyFill="1" applyBorder="1" applyAlignment="1">
      <alignment horizontal="center" vertical="center"/>
    </xf>
    <xf numFmtId="0" fontId="2" fillId="4" borderId="1" xfId="0" applyFont="1" applyFill="1" applyBorder="1" applyAlignment="1">
      <alignment vertical="center"/>
    </xf>
    <xf numFmtId="166" fontId="2" fillId="4" borderId="1" xfId="0" applyNumberFormat="1" applyFont="1" applyFill="1" applyBorder="1" applyAlignment="1">
      <alignment vertical="center"/>
    </xf>
    <xf numFmtId="0" fontId="4" fillId="5" borderId="1" xfId="0" applyFont="1" applyFill="1" applyBorder="1" applyAlignment="1">
      <alignment horizontal="center" vertical="center"/>
    </xf>
    <xf numFmtId="167" fontId="2" fillId="4" borderId="1" xfId="0" applyNumberFormat="1" applyFont="1" applyFill="1" applyBorder="1" applyAlignment="1">
      <alignment horizontal="center" vertical="center"/>
    </xf>
    <xf numFmtId="166" fontId="2" fillId="4"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167" fontId="2" fillId="6" borderId="1" xfId="0" applyNumberFormat="1" applyFont="1" applyFill="1" applyBorder="1" applyAlignment="1">
      <alignment horizontal="center" vertical="center"/>
    </xf>
    <xf numFmtId="166" fontId="2" fillId="6" borderId="1"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8" xfId="0" applyFont="1" applyFill="1" applyBorder="1" applyAlignment="1">
      <alignment vertical="center"/>
    </xf>
    <xf numFmtId="166" fontId="2" fillId="4" borderId="8" xfId="0" applyNumberFormat="1" applyFont="1" applyFill="1" applyBorder="1" applyAlignment="1">
      <alignment vertical="center"/>
    </xf>
    <xf numFmtId="0" fontId="2" fillId="4" borderId="9" xfId="0" applyFont="1"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9" fontId="0" fillId="0" borderId="0" xfId="1" applyFont="1"/>
    <xf numFmtId="10" fontId="0" fillId="0" borderId="0" xfId="0" applyNumberFormat="1"/>
    <xf numFmtId="0" fontId="0" fillId="0" borderId="0" xfId="0" applyAlignment="1">
      <alignment horizontal="left" vertical="top"/>
    </xf>
    <xf numFmtId="168" fontId="0" fillId="0" borderId="0" xfId="0" applyNumberFormat="1"/>
    <xf numFmtId="9" fontId="0" fillId="0" borderId="0" xfId="0" applyNumberFormat="1"/>
    <xf numFmtId="2" fontId="0" fillId="0" borderId="0" xfId="0" applyNumberFormat="1"/>
    <xf numFmtId="169" fontId="0" fillId="0" borderId="0" xfId="0" applyNumberFormat="1"/>
    <xf numFmtId="169" fontId="1" fillId="2" borderId="5" xfId="0" applyNumberFormat="1" applyFont="1" applyFill="1" applyBorder="1" applyAlignment="1">
      <alignment horizontal="center" vertical="center"/>
    </xf>
    <xf numFmtId="169" fontId="2" fillId="3" borderId="1" xfId="0" applyNumberFormat="1" applyFont="1" applyFill="1" applyBorder="1" applyAlignment="1">
      <alignment vertical="center"/>
    </xf>
    <xf numFmtId="169" fontId="2" fillId="4" borderId="1" xfId="0" applyNumberFormat="1" applyFont="1" applyFill="1" applyBorder="1" applyAlignment="1">
      <alignment vertical="center"/>
    </xf>
    <xf numFmtId="169" fontId="2" fillId="4" borderId="8" xfId="0" applyNumberFormat="1" applyFont="1" applyFill="1" applyBorder="1" applyAlignment="1">
      <alignment vertical="center"/>
    </xf>
    <xf numFmtId="170" fontId="0" fillId="0" borderId="0" xfId="0" applyNumberFormat="1"/>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8" xfId="0" applyFont="1" applyFill="1" applyBorder="1" applyAlignment="1">
      <alignment horizontal="center" vertical="center"/>
    </xf>
    <xf numFmtId="0" fontId="8" fillId="2" borderId="5" xfId="0" applyFont="1" applyFill="1" applyBorder="1" applyAlignment="1">
      <alignment horizontal="center" vertical="center"/>
    </xf>
    <xf numFmtId="14" fontId="2" fillId="3" borderId="2" xfId="0" applyNumberFormat="1" applyFont="1" applyFill="1" applyBorder="1" applyAlignment="1">
      <alignment horizontal="center" vertical="center"/>
    </xf>
    <xf numFmtId="14" fontId="2" fillId="4" borderId="2" xfId="0" applyNumberFormat="1" applyFont="1" applyFill="1" applyBorder="1" applyAlignment="1">
      <alignment horizontal="center" vertical="center"/>
    </xf>
    <xf numFmtId="14" fontId="2" fillId="4" borderId="7" xfId="0" applyNumberFormat="1" applyFont="1" applyFill="1" applyBorder="1" applyAlignment="1">
      <alignment horizontal="center" vertical="center"/>
    </xf>
    <xf numFmtId="0" fontId="8" fillId="2" borderId="4" xfId="0" applyFont="1" applyFill="1" applyBorder="1" applyAlignment="1">
      <alignment horizontal="center" vertical="center"/>
    </xf>
    <xf numFmtId="10" fontId="7" fillId="7" borderId="0" xfId="0" applyNumberFormat="1" applyFont="1" applyFill="1"/>
    <xf numFmtId="10" fontId="0" fillId="0" borderId="0" xfId="1" applyNumberFormat="1" applyFont="1"/>
    <xf numFmtId="0" fontId="6" fillId="0" borderId="0" xfId="0" applyFont="1"/>
    <xf numFmtId="3" fontId="1" fillId="2" borderId="5" xfId="0" applyNumberFormat="1" applyFont="1" applyFill="1" applyBorder="1" applyAlignment="1">
      <alignment horizontal="center" vertical="center"/>
    </xf>
    <xf numFmtId="3" fontId="2" fillId="3" borderId="1" xfId="0" applyNumberFormat="1" applyFont="1" applyFill="1" applyBorder="1" applyAlignment="1">
      <alignment vertical="center"/>
    </xf>
    <xf numFmtId="3" fontId="2" fillId="4" borderId="1" xfId="0" applyNumberFormat="1" applyFont="1" applyFill="1" applyBorder="1" applyAlignment="1">
      <alignment vertical="center"/>
    </xf>
    <xf numFmtId="3" fontId="2" fillId="4" borderId="8" xfId="0" applyNumberFormat="1" applyFont="1" applyFill="1" applyBorder="1" applyAlignment="1">
      <alignment vertical="center"/>
    </xf>
    <xf numFmtId="3" fontId="0" fillId="0" borderId="0" xfId="0" applyNumberFormat="1"/>
    <xf numFmtId="170" fontId="11" fillId="0" borderId="0" xfId="0" applyNumberFormat="1" applyFont="1"/>
    <xf numFmtId="171" fontId="0" fillId="0" borderId="0" xfId="0" applyNumberFormat="1"/>
    <xf numFmtId="0" fontId="1" fillId="2" borderId="5" xfId="0" applyFont="1" applyFill="1" applyBorder="1"/>
    <xf numFmtId="0" fontId="2" fillId="3" borderId="1" xfId="0" applyFont="1" applyFill="1" applyBorder="1"/>
    <xf numFmtId="0" fontId="2" fillId="4" borderId="1" xfId="0" applyFont="1" applyFill="1" applyBorder="1"/>
    <xf numFmtId="0" fontId="2" fillId="4" borderId="8" xfId="0" applyFont="1" applyFill="1" applyBorder="1"/>
    <xf numFmtId="0" fontId="3" fillId="2" borderId="0" xfId="0" applyFont="1" applyFill="1" applyAlignment="1">
      <alignment horizontal="center" vertical="center"/>
    </xf>
    <xf numFmtId="0" fontId="0" fillId="0" borderId="0" xfId="0"/>
    <xf numFmtId="0" fontId="0" fillId="0" borderId="0" xfId="0" applyNumberFormat="1"/>
    <xf numFmtId="177" fontId="2" fillId="4" borderId="1" xfId="1" applyNumberFormat="1" applyFont="1" applyFill="1" applyBorder="1" applyAlignment="1">
      <alignment horizontal="center" vertical="center"/>
    </xf>
    <xf numFmtId="177" fontId="2" fillId="6" borderId="1" xfId="1" applyNumberFormat="1" applyFont="1" applyFill="1" applyBorder="1" applyAlignment="1">
      <alignment horizontal="center" vertical="center"/>
    </xf>
  </cellXfs>
  <cellStyles count="2">
    <cellStyle name="Normal" xfId="0" builtinId="0"/>
    <cellStyle name="Percent" xfId="1" builtinId="5"/>
  </cellStyles>
  <dxfs count="1297">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2" formatCode="0.0"/>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2" formatCode="0.0"/>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2" formatCode="0.0"/>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2" formatCode="0.0"/>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2" formatCode="0.0"/>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2" formatCode="0.0"/>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2" formatCode="0.0"/>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2" formatCode="0.0"/>
    </dxf>
    <dxf>
      <numFmt numFmtId="174" formatCode="\$#,##0.0"/>
    </dxf>
    <dxf>
      <numFmt numFmtId="0" formatCode="General"/>
    </dxf>
    <dxf>
      <numFmt numFmtId="0" formatCode="General"/>
    </dxf>
    <dxf>
      <numFmt numFmtId="171" formatCode="\$#,##0,\k"/>
    </dxf>
    <dxf>
      <numFmt numFmtId="171" formatCode="\$#,##0,\k"/>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5" formatCode="\$#,##0.00,,&quot;K&quot;"/>
    </dxf>
    <dxf>
      <numFmt numFmtId="171" formatCode="\$#,##0,\k"/>
    </dxf>
    <dxf>
      <numFmt numFmtId="172" formatCode="0.0"/>
    </dxf>
    <dxf>
      <numFmt numFmtId="172" formatCode="0.0"/>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2" formatCode="0.0"/>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2" formatCode="0.0"/>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72" formatCode="0.0"/>
    </dxf>
    <dxf>
      <numFmt numFmtId="175" formatCode="\$#,##0.00,,&quot;K&quot;"/>
    </dxf>
    <dxf>
      <numFmt numFmtId="171" formatCode="\$#,##0,\k"/>
    </dxf>
    <dxf>
      <numFmt numFmtId="174" formatCode="\$#,##0.0"/>
    </dxf>
    <dxf>
      <numFmt numFmtId="0" formatCode="General"/>
    </dxf>
    <dxf>
      <numFmt numFmtId="0" formatCode="General"/>
    </dxf>
    <dxf>
      <numFmt numFmtId="171" formatCode="\$#,##0,\k"/>
    </dxf>
    <dxf>
      <numFmt numFmtId="171" formatCode="\$#,##0,\k"/>
    </dxf>
    <dxf>
      <numFmt numFmtId="167" formatCode="\$#,##0"/>
    </dxf>
    <dxf>
      <numFmt numFmtId="171" formatCode="\$#,##0,\k"/>
    </dxf>
    <dxf>
      <numFmt numFmtId="171" formatCode="\$#,##0,\k"/>
    </dxf>
    <dxf>
      <numFmt numFmtId="169" formatCode="[$$-409]#,##0.00"/>
    </dxf>
    <dxf>
      <numFmt numFmtId="169" formatCode="[$$-409]#,##0.00"/>
    </dxf>
    <dxf>
      <font>
        <i/>
      </font>
    </dxf>
    <dxf>
      <numFmt numFmtId="167" formatCode="\$#,##0"/>
    </dxf>
    <dxf>
      <numFmt numFmtId="173" formatCode="[$$-409]#,##0"/>
    </dxf>
    <dxf>
      <font>
        <sz val="11"/>
      </font>
    </dxf>
    <dxf>
      <numFmt numFmtId="170" formatCode="\$#,##0.00,,&quot;M&quot;"/>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numFmt numFmtId="169" formatCode="[$$-409]#,##0.00"/>
    </dxf>
    <dxf>
      <font>
        <i/>
      </font>
    </dxf>
    <dxf>
      <numFmt numFmtId="167" formatCode="\$#,##0"/>
    </dxf>
    <dxf>
      <numFmt numFmtId="173" formatCode="[$$-409]#,##0"/>
    </dxf>
    <dxf>
      <font>
        <sz val="11"/>
      </font>
    </dxf>
    <dxf>
      <numFmt numFmtId="170" formatCode="\$#,##0.00,,&quot;M&quot;"/>
    </dxf>
    <dxf>
      <numFmt numFmtId="169" formatCode="[$$-409]#,##0.00"/>
    </dxf>
    <dxf>
      <numFmt numFmtId="171" formatCode="\$#,##0,\k"/>
    </dxf>
    <dxf>
      <numFmt numFmtId="167" formatCode="\$#,##0"/>
    </dxf>
    <dxf>
      <numFmt numFmtId="171" formatCode="\$#,##0,\k"/>
    </dxf>
    <dxf>
      <numFmt numFmtId="174" formatCode="\$#,##0.0"/>
    </dxf>
    <dxf>
      <numFmt numFmtId="0" formatCode="General"/>
    </dxf>
    <dxf>
      <numFmt numFmtId="0" formatCode="General"/>
    </dxf>
    <dxf>
      <numFmt numFmtId="171" formatCode="\$#,##0,\k"/>
    </dxf>
    <dxf>
      <numFmt numFmtId="171" formatCode="\$#,##0,\k"/>
    </dxf>
    <dxf>
      <numFmt numFmtId="175" formatCode="\$#,##0.00,,&quot;K&quot;"/>
    </dxf>
    <dxf>
      <numFmt numFmtId="171" formatCode="\$#,##0,\k"/>
    </dxf>
    <dxf>
      <numFmt numFmtId="172" formatCode="0.0"/>
    </dxf>
    <dxf>
      <font>
        <color rgb="FF006100"/>
      </font>
      <fill>
        <patternFill>
          <bgColor rgb="FFC6EFCE"/>
        </patternFill>
      </fill>
    </dxf>
    <dxf>
      <fill>
        <patternFill>
          <bgColor theme="6" tint="0.59996337778862885"/>
        </patternFill>
      </fill>
    </dxf>
    <dxf>
      <font>
        <color rgb="FF00B050"/>
      </font>
    </dxf>
    <dxf>
      <font>
        <color rgb="FFFF0000"/>
      </font>
    </dxf>
    <dxf>
      <font>
        <color rgb="FF9C0006"/>
      </font>
    </dxf>
    <dxf>
      <font>
        <b/>
        <i val="0"/>
        <sz val="12"/>
        <color theme="1"/>
        <name val="Cambria"/>
        <family val="1"/>
        <scheme val="major"/>
      </font>
      <fill>
        <patternFill>
          <bgColor theme="0"/>
        </patternFill>
      </fill>
      <border diagonalUp="0" diagonalDown="0">
        <left/>
        <right/>
        <top/>
        <bottom/>
        <vertical/>
        <horizontal/>
      </border>
    </dxf>
    <dxf>
      <font>
        <color theme="0"/>
      </font>
      <border diagonalUp="0" diagonalDown="0">
        <left/>
        <right/>
        <top/>
        <bottom/>
        <vertical/>
        <horizontal/>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BFBFBF"/>
        </left>
        <right/>
        <top style="thin">
          <color rgb="FFBFBFBF"/>
        </top>
        <bottom style="thin">
          <color rgb="FFBFBFBF"/>
        </bottom>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numFmt numFmtId="166" formatCode="0.0&quot;%&quot;"/>
      <fill>
        <patternFill patternType="solid">
          <fgColor indexed="64"/>
          <bgColor rgb="FFFFFFFF"/>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numFmt numFmtId="169" formatCode="[$$-409]#,##0.00"/>
      <fill>
        <patternFill patternType="solid">
          <fgColor indexed="64"/>
          <bgColor rgb="FFFFFFFF"/>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Arial"/>
        <scheme val="none"/>
      </font>
      <numFmt numFmtId="169" formatCode="[$$-409]#,##0.00"/>
      <fill>
        <patternFill patternType="solid">
          <fgColor indexed="64"/>
          <bgColor rgb="FFFFFFFF"/>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Arial"/>
        <scheme val="none"/>
      </font>
      <numFmt numFmtId="3" formatCode="#,##0"/>
      <fill>
        <patternFill patternType="solid">
          <fgColor indexed="64"/>
          <bgColor rgb="FFFFFFFF"/>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Arial"/>
        <scheme val="none"/>
      </font>
      <numFmt numFmtId="169" formatCode="[$$-409]#,##0.00"/>
      <fill>
        <patternFill patternType="solid">
          <fgColor indexed="64"/>
          <bgColor rgb="FFFFFFFF"/>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Arial"/>
        <scheme val="none"/>
      </font>
      <numFmt numFmtId="169" formatCode="[$$-409]#,##0.00"/>
      <fill>
        <patternFill patternType="solid">
          <fgColor indexed="64"/>
          <bgColor rgb="FFFFFFFF"/>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Arial"/>
        <scheme val="none"/>
      </font>
      <numFmt numFmtId="166" formatCode="0.0&quot;%&quot;"/>
      <fill>
        <patternFill patternType="solid">
          <fgColor indexed="64"/>
          <bgColor rgb="FFFFFFFF"/>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numFmt numFmtId="169" formatCode="[$$-409]#,##0.00"/>
      <fill>
        <patternFill patternType="solid">
          <fgColor indexed="64"/>
          <bgColor rgb="FFFFFFFF"/>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general" vertical="bottom"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Arial"/>
        <scheme val="none"/>
      </font>
      <fill>
        <patternFill patternType="solid">
          <fgColor indexed="64"/>
          <bgColor rgb="FFFFFFFF"/>
        </patternFill>
      </fill>
      <alignment horizontal="general"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numFmt numFmtId="169" formatCode="[$$-409]#,##0.00"/>
    </dxf>
    <dxf>
      <numFmt numFmtId="171" formatCode="\$#,##0,\k"/>
    </dxf>
    <dxf>
      <numFmt numFmtId="171" formatCode="\$#,##0,\k"/>
    </dxf>
    <dxf>
      <numFmt numFmtId="0" formatCode="General"/>
    </dxf>
    <dxf>
      <numFmt numFmtId="0" formatCode="General"/>
    </dxf>
    <dxf>
      <numFmt numFmtId="174" formatCode="\$#,##0.0"/>
    </dxf>
    <dxf>
      <numFmt numFmtId="171" formatCode="\$#,##0,\k"/>
    </dxf>
    <dxf>
      <numFmt numFmtId="175" formatCode="\$#,##0.00,,&quot;K&quot;"/>
    </dxf>
    <dxf>
      <numFmt numFmtId="171" formatCode="\$#,##0,\k"/>
    </dxf>
    <dxf>
      <numFmt numFmtId="170" formatCode="\$#,##0.00,,&quot;M&quot;"/>
    </dxf>
    <dxf>
      <font>
        <sz val="11"/>
      </font>
    </dxf>
    <dxf>
      <numFmt numFmtId="173" formatCode="[$$-409]#,##0"/>
    </dxf>
    <dxf>
      <numFmt numFmtId="167" formatCode="\$#,##0"/>
    </dxf>
    <dxf>
      <font>
        <i/>
      </font>
    </dxf>
    <dxf>
      <numFmt numFmtId="169" formatCode="[$$-409]#,##0.00"/>
    </dxf>
    <dxf>
      <numFmt numFmtId="172" formatCode="0.0"/>
    </dxf>
    <dxf>
      <numFmt numFmtId="171" formatCode="\$#,##0,\k"/>
    </dxf>
    <dxf>
      <numFmt numFmtId="167" formatCode="\$#,##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bgColor theme="0"/>
        </patternFill>
      </fill>
      <border diagonalUp="0" diagonalDown="0">
        <left/>
        <right/>
        <top/>
        <bottom/>
        <vertical/>
        <horizontal/>
      </border>
    </dxf>
    <dxf>
      <fill>
        <patternFill patternType="none">
          <bgColor auto="1"/>
        </patternFill>
      </fill>
      <border diagonalUp="0" diagonalDown="0">
        <left/>
        <right/>
        <top/>
        <bottom/>
        <vertical/>
        <horizontal/>
      </border>
    </dxf>
    <dxf>
      <font>
        <b val="0"/>
        <i val="0"/>
        <sz val="12"/>
        <name val="Calibri"/>
        <family val="2"/>
        <scheme val="minor"/>
      </font>
      <fill>
        <patternFill patternType="solid">
          <bgColor theme="3" tint="0.59996337778862885"/>
        </patternFill>
      </fill>
    </dxf>
    <dxf>
      <font>
        <u val="none"/>
        <sz val="12"/>
      </font>
    </dxf>
    <dxf>
      <fill>
        <gradientFill degree="90">
          <stop position="0">
            <color theme="0"/>
          </stop>
          <stop position="1">
            <color theme="4"/>
          </stop>
        </gradientFill>
      </fill>
      <border>
        <left style="thin">
          <color theme="1"/>
        </left>
        <right style="thin">
          <color theme="1"/>
        </right>
        <top style="thin">
          <color theme="1"/>
        </top>
        <bottom style="thin">
          <color theme="1"/>
        </bottom>
      </border>
    </dxf>
    <dxf>
      <font>
        <u val="none"/>
      </font>
      <fill>
        <patternFill patternType="solid">
          <fgColor auto="1"/>
          <bgColor theme="0" tint="-0.14996795556505021"/>
        </patternFill>
      </fill>
    </dxf>
    <dxf>
      <font>
        <color theme="0" tint="-0.499984740745262"/>
      </font>
    </dxf>
  </dxfs>
  <tableStyles count="8" defaultTableStyle="TableStyleMedium9" defaultPivotStyle="PivotStyleLight16">
    <tableStyle name="IMADEIT" pivot="0" table="0" count="6" xr9:uid="{20D8F93A-BF0A-42A5-99C4-9A478470C292}">
      <tableStyleElement type="wholeTable" dxfId="1243"/>
      <tableStyleElement type="headerRow" dxfId="1242"/>
    </tableStyle>
    <tableStyle name="Slicer Style 2" pivot="0" table="0" count="1" xr9:uid="{8B189033-31CE-42BB-ACE0-9EC5C7A7B359}">
      <tableStyleElement type="headerRow" dxfId="1296"/>
    </tableStyle>
    <tableStyle name="Slicer Style 3" pivot="0" table="0" count="1" xr9:uid="{A1B4512E-ABE5-40A2-B63B-743D06D2ECC5}">
      <tableStyleElement type="wholeTable" dxfId="1295"/>
    </tableStyle>
    <tableStyle name="Slicer Style 4" pivot="0" table="0" count="1" xr9:uid="{A708C304-683D-4D3F-8407-63632AABFE89}">
      <tableStyleElement type="wholeTable" dxfId="1294"/>
    </tableStyle>
    <tableStyle name="Slicer Style 5" pivot="0" table="0" count="1" xr9:uid="{A1504DF6-B96F-41B1-93E6-A0267AB0E060}">
      <tableStyleElement type="wholeTable" dxfId="1293"/>
    </tableStyle>
    <tableStyle name="Slicer Style 6" pivot="0" table="0" count="1" xr9:uid="{636F3954-7ED7-4ACB-84E2-A1E45058AB3F}">
      <tableStyleElement type="headerRow" dxfId="1292"/>
    </tableStyle>
    <tableStyle name="Slicer Style 7" pivot="0" table="0" count="4" xr9:uid="{CACAFFE7-9C90-422E-AD99-F5535705A073}">
      <tableStyleElement type="wholeTable" dxfId="1291"/>
      <tableStyleElement type="headerRow" dxfId="1290"/>
    </tableStyle>
    <tableStyle name="SlicerStyleLight1 2" pivot="0" table="0" count="10" xr9:uid="{4858D16C-5C35-4C8B-BF18-46AFAFB65505}">
      <tableStyleElement type="wholeTable" dxfId="1289"/>
      <tableStyleElement type="headerRow" dxfId="1288"/>
    </tableStyle>
  </tableStyles>
  <colors>
    <mruColors>
      <color rgb="FFDFC977"/>
    </mruColors>
  </colors>
  <extLst>
    <ext xmlns:x14="http://schemas.microsoft.com/office/spreadsheetml/2009/9/main" uri="{46F421CA-312F-682f-3DD2-61675219B42D}">
      <x14:dxfs count="14">
        <dxf>
          <font>
            <b val="0"/>
            <i val="0"/>
            <sz val="10"/>
            <color theme="1"/>
            <name val="Cambria"/>
            <family val="1"/>
            <scheme val="major"/>
          </font>
          <fill>
            <patternFill patternType="solid">
              <bgColor theme="6" tint="0.59996337778862885"/>
            </patternFill>
          </fill>
          <border diagonalUp="0" diagonalDown="0">
            <left/>
            <right/>
            <top/>
            <bottom/>
            <vertical/>
            <horizontal/>
          </border>
        </dxf>
        <dxf>
          <font>
            <b val="0"/>
            <i val="0"/>
            <sz val="10"/>
            <color theme="1"/>
            <name val="Cambria"/>
            <family val="1"/>
            <scheme val="major"/>
          </font>
          <fill>
            <patternFill>
              <bgColor theme="0" tint="-0.14996795556505021"/>
            </patternFill>
          </fill>
          <border diagonalUp="0" diagonalDown="0">
            <left/>
            <right/>
            <top/>
            <bottom/>
            <vertical/>
            <horizontal/>
          </border>
        </dxf>
        <dxf>
          <font>
            <b/>
            <i val="0"/>
            <sz val="10"/>
            <color theme="1"/>
            <name val="Cambria"/>
            <family val="1"/>
            <scheme val="major"/>
          </font>
          <fill>
            <patternFill>
              <bgColor theme="4" tint="0.39994506668294322"/>
            </patternFill>
          </fill>
          <border diagonalUp="0" diagonalDown="0">
            <left/>
            <right/>
            <top/>
            <bottom/>
            <vertical/>
            <horizontal/>
          </border>
        </dxf>
        <dxf>
          <font>
            <b val="0"/>
            <i val="0"/>
            <sz val="10"/>
            <color theme="1"/>
            <name val="Cambria"/>
            <family val="1"/>
            <scheme val="major"/>
          </font>
          <fill>
            <patternFill patternType="solid">
              <bgColor theme="0" tint="-0.1499679555650502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val="0"/>
            <i val="0"/>
            <sz val="11"/>
            <color theme="0"/>
            <name val="Calibri"/>
            <family val="2"/>
            <scheme val="minor"/>
          </font>
          <fill>
            <patternFill>
              <bgColor theme="4" tint="0.59996337778862885"/>
            </patternFill>
          </fill>
          <border diagonalUp="0" diagonalDown="0">
            <left/>
            <right/>
            <top/>
            <bottom/>
            <vertical/>
            <horizontal/>
          </border>
        </dxf>
        <dxf>
          <fill>
            <patternFill>
              <bgColor theme="0" tint="-4.9989318521683403E-2"/>
            </patternFill>
          </fill>
          <border diagonalUp="0" diagonalDown="0">
            <left/>
            <right/>
            <top/>
            <bottom/>
            <vertical/>
            <horizontal/>
          </border>
        </dxf>
      </x14:dxfs>
    </ext>
    <ext xmlns:x14="http://schemas.microsoft.com/office/spreadsheetml/2009/9/main" uri="{EB79DEF2-80B8-43e5-95BD-54CBDDF9020C}">
      <x14:slicerStyles defaultSlicerStyle="IMADEIT">
        <x14:slicerStyle name="IMADEIT">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 name="Slicer Style 2"/>
        <x14:slicerStyle name="Slicer Style 3"/>
        <x14:slicerStyle name="Slicer Style 4"/>
        <x14:slicerStyle name="Slicer Style 5"/>
        <x14:slicerStyle name="Slicer Style 6"/>
        <x14:slicerStyle name="Slicer Style 7">
          <x14:slicerStyleElements>
            <x14:slicerStyleElement type="unselectedItemWithData" dxfId="13"/>
            <x14:slicerStyleElement type="selectedItemWithData" dxfId="12"/>
          </x14:slicerStyleElements>
        </x14:slicerStyle>
        <x14:slicerStyle name="SlicerStyleLight1 2">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[Sales_Performance_Dashboard.xlsx]Pivottables!PivotTable21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Revenue</a:t>
            </a:r>
            <a:r>
              <a:rPr lang="en-IN" sz="1400" b="1" baseline="0"/>
              <a:t> Vs Profit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14507814901517"/>
          <c:y val="0.19586708721928492"/>
          <c:w val="0.49157769974699106"/>
          <c:h val="0.69751299099139974"/>
        </c:manualLayout>
      </c:layout>
      <c:barChart>
        <c:barDir val="col"/>
        <c:grouping val="clustered"/>
        <c:varyColors val="0"/>
        <c:ser>
          <c:idx val="0"/>
          <c:order val="0"/>
          <c:tx>
            <c:strRef>
              <c:f>Pivottables!$U$2</c:f>
              <c:strCache>
                <c:ptCount val="1"/>
                <c:pt idx="0">
                  <c:v>Sum of Gross Profit ($)</c:v>
                </c:pt>
              </c:strCache>
            </c:strRef>
          </c:tx>
          <c:spPr>
            <a:solidFill>
              <a:schemeClr val="accent1">
                <a:shade val="76000"/>
              </a:schemeClr>
            </a:solidFill>
            <a:ln>
              <a:noFill/>
            </a:ln>
            <a:effectLst/>
          </c:spPr>
          <c:invertIfNegative val="0"/>
          <c:cat>
            <c:strRef>
              <c:f>Pivottables!$T$3:$T$8</c:f>
              <c:strCache>
                <c:ptCount val="6"/>
                <c:pt idx="0">
                  <c:v>Electronics</c:v>
                </c:pt>
                <c:pt idx="1">
                  <c:v>Home &amp; Garden</c:v>
                </c:pt>
                <c:pt idx="2">
                  <c:v>Sports</c:v>
                </c:pt>
                <c:pt idx="3">
                  <c:v>Beauty</c:v>
                </c:pt>
                <c:pt idx="4">
                  <c:v>Clothing</c:v>
                </c:pt>
                <c:pt idx="5">
                  <c:v>Food &amp; Beverage</c:v>
                </c:pt>
              </c:strCache>
            </c:strRef>
          </c:cat>
          <c:val>
            <c:numRef>
              <c:f>Pivottables!$U$3:$U$8</c:f>
              <c:numCache>
                <c:formatCode>\$#,##0,\k</c:formatCode>
                <c:ptCount val="6"/>
                <c:pt idx="0">
                  <c:v>238632.14000000004</c:v>
                </c:pt>
                <c:pt idx="1">
                  <c:v>104078.84</c:v>
                </c:pt>
                <c:pt idx="2">
                  <c:v>68236.100000000006</c:v>
                </c:pt>
                <c:pt idx="3">
                  <c:v>38385.339999999989</c:v>
                </c:pt>
                <c:pt idx="4">
                  <c:v>31565.22</c:v>
                </c:pt>
                <c:pt idx="5">
                  <c:v>19242.940000000002</c:v>
                </c:pt>
              </c:numCache>
            </c:numRef>
          </c:val>
          <c:extLst>
            <c:ext xmlns:c16="http://schemas.microsoft.com/office/drawing/2014/chart" uri="{C3380CC4-5D6E-409C-BE32-E72D297353CC}">
              <c16:uniqueId val="{00000000-1580-4686-BCAF-28F6AEF5B486}"/>
            </c:ext>
          </c:extLst>
        </c:ser>
        <c:ser>
          <c:idx val="1"/>
          <c:order val="1"/>
          <c:tx>
            <c:strRef>
              <c:f>Pivottables!$V$2</c:f>
              <c:strCache>
                <c:ptCount val="1"/>
                <c:pt idx="0">
                  <c:v>Sum of Net Revenue ($)</c:v>
                </c:pt>
              </c:strCache>
            </c:strRef>
          </c:tx>
          <c:spPr>
            <a:solidFill>
              <a:schemeClr val="accent1">
                <a:tint val="77000"/>
              </a:schemeClr>
            </a:solidFill>
            <a:ln>
              <a:noFill/>
            </a:ln>
            <a:effectLst/>
          </c:spPr>
          <c:invertIfNegative val="0"/>
          <c:cat>
            <c:strRef>
              <c:f>Pivottables!$T$3:$T$8</c:f>
              <c:strCache>
                <c:ptCount val="6"/>
                <c:pt idx="0">
                  <c:v>Electronics</c:v>
                </c:pt>
                <c:pt idx="1">
                  <c:v>Home &amp; Garden</c:v>
                </c:pt>
                <c:pt idx="2">
                  <c:v>Sports</c:v>
                </c:pt>
                <c:pt idx="3">
                  <c:v>Beauty</c:v>
                </c:pt>
                <c:pt idx="4">
                  <c:v>Clothing</c:v>
                </c:pt>
                <c:pt idx="5">
                  <c:v>Food &amp; Beverage</c:v>
                </c:pt>
              </c:strCache>
            </c:strRef>
          </c:cat>
          <c:val>
            <c:numRef>
              <c:f>Pivottables!$V$3:$V$8</c:f>
              <c:numCache>
                <c:formatCode>\$#,##0,\k</c:formatCode>
                <c:ptCount val="6"/>
                <c:pt idx="0">
                  <c:v>471313.55</c:v>
                </c:pt>
                <c:pt idx="1">
                  <c:v>203459.19</c:v>
                </c:pt>
                <c:pt idx="2">
                  <c:v>132754.18999999997</c:v>
                </c:pt>
                <c:pt idx="3">
                  <c:v>73866.300000000017</c:v>
                </c:pt>
                <c:pt idx="4">
                  <c:v>62467.199999999997</c:v>
                </c:pt>
                <c:pt idx="5">
                  <c:v>38679.179999999993</c:v>
                </c:pt>
              </c:numCache>
            </c:numRef>
          </c:val>
          <c:extLst>
            <c:ext xmlns:c16="http://schemas.microsoft.com/office/drawing/2014/chart" uri="{C3380CC4-5D6E-409C-BE32-E72D297353CC}">
              <c16:uniqueId val="{00000001-1580-4686-BCAF-28F6AEF5B486}"/>
            </c:ext>
          </c:extLst>
        </c:ser>
        <c:dLbls>
          <c:showLegendKey val="0"/>
          <c:showVal val="0"/>
          <c:showCatName val="0"/>
          <c:showSerName val="0"/>
          <c:showPercent val="0"/>
          <c:showBubbleSize val="0"/>
        </c:dLbls>
        <c:gapWidth val="182"/>
        <c:axId val="1833807311"/>
        <c:axId val="1833808751"/>
      </c:barChart>
      <c:catAx>
        <c:axId val="183380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808751"/>
        <c:crosses val="autoZero"/>
        <c:auto val="1"/>
        <c:lblAlgn val="ctr"/>
        <c:lblOffset val="100"/>
        <c:noMultiLvlLbl val="0"/>
      </c:catAx>
      <c:valAx>
        <c:axId val="1833808751"/>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807311"/>
        <c:crosses val="autoZero"/>
        <c:crossBetween val="between"/>
      </c:valAx>
      <c:spPr>
        <a:noFill/>
        <a:ln>
          <a:noFill/>
        </a:ln>
        <a:effectLst/>
      </c:spPr>
    </c:plotArea>
    <c:legend>
      <c:legendPos val="r"/>
      <c:layout>
        <c:manualLayout>
          <c:xMode val="edge"/>
          <c:yMode val="edge"/>
          <c:x val="0.79501962592513764"/>
          <c:y val="0.3601091470194468"/>
          <c:w val="0.20498037407486228"/>
          <c:h val="0.266572874356123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26475286479601"/>
          <c:y val="0.18926645091693636"/>
          <c:w val="0.75389976937814285"/>
          <c:h val="0.54609824257404715"/>
        </c:manualLayout>
      </c:layout>
      <c:lineChart>
        <c:grouping val="standard"/>
        <c:varyColors val="0"/>
        <c:ser>
          <c:idx val="0"/>
          <c:order val="0"/>
          <c:tx>
            <c:strRef>
              <c:f>Pivottables!$L$2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Pivottables!$K$3:$K$8</c:f>
              <c:strCache>
                <c:ptCount val="6"/>
                <c:pt idx="0">
                  <c:v>Jul</c:v>
                </c:pt>
                <c:pt idx="1">
                  <c:v>Aug</c:v>
                </c:pt>
                <c:pt idx="2">
                  <c:v>Sep</c:v>
                </c:pt>
                <c:pt idx="3">
                  <c:v>Oct</c:v>
                </c:pt>
                <c:pt idx="4">
                  <c:v>Nov</c:v>
                </c:pt>
                <c:pt idx="5">
                  <c:v>Dec</c:v>
                </c:pt>
              </c:strCache>
            </c:strRef>
          </c:cat>
          <c:val>
            <c:numRef>
              <c:f>Pivottables!$L$3:$L$8</c:f>
              <c:numCache>
                <c:formatCode>\$#,##0,\k</c:formatCode>
                <c:ptCount val="6"/>
                <c:pt idx="0">
                  <c:v>155710.37000000002</c:v>
                </c:pt>
                <c:pt idx="1">
                  <c:v>208251.92999999991</c:v>
                </c:pt>
                <c:pt idx="2">
                  <c:v>130592.87999999993</c:v>
                </c:pt>
                <c:pt idx="3">
                  <c:v>191123.31000000003</c:v>
                </c:pt>
                <c:pt idx="4">
                  <c:v>113860.26</c:v>
                </c:pt>
                <c:pt idx="5">
                  <c:v>183000.85999999993</c:v>
                </c:pt>
              </c:numCache>
            </c:numRef>
          </c:val>
          <c:smooth val="0"/>
          <c:extLst>
            <c:ext xmlns:c16="http://schemas.microsoft.com/office/drawing/2014/chart" uri="{C3380CC4-5D6E-409C-BE32-E72D297353CC}">
              <c16:uniqueId val="{00000000-99CF-40A3-A8E9-AEDBADC4BFD5}"/>
            </c:ext>
          </c:extLst>
        </c:ser>
        <c:dLbls>
          <c:showLegendKey val="0"/>
          <c:showVal val="0"/>
          <c:showCatName val="0"/>
          <c:showSerName val="0"/>
          <c:showPercent val="0"/>
          <c:showBubbleSize val="0"/>
        </c:dLbls>
        <c:marker val="1"/>
        <c:smooth val="0"/>
        <c:axId val="285693631"/>
        <c:axId val="285700351"/>
      </c:lineChart>
      <c:catAx>
        <c:axId val="28569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5700351"/>
        <c:crosses val="autoZero"/>
        <c:auto val="1"/>
        <c:lblAlgn val="ctr"/>
        <c:lblOffset val="100"/>
        <c:noMultiLvlLbl val="0"/>
      </c:catAx>
      <c:valAx>
        <c:axId val="285700351"/>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569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Pivottables!$O$2</c:f>
              <c:strCache>
                <c:ptCount val="1"/>
                <c:pt idx="0">
                  <c:v>Total</c:v>
                </c:pt>
              </c:strCache>
            </c:strRef>
          </c:tx>
          <c:spPr>
            <a:solidFill>
              <a:schemeClr val="accent1"/>
            </a:solidFill>
            <a:ln>
              <a:noFill/>
            </a:ln>
            <a:effectLst/>
          </c:spPr>
          <c:invertIfNegative val="0"/>
          <c:cat>
            <c:strRef>
              <c:f>Pivottables!$N$3:$N$7</c:f>
              <c:strCache>
                <c:ptCount val="5"/>
                <c:pt idx="0">
                  <c:v>Central</c:v>
                </c:pt>
                <c:pt idx="1">
                  <c:v>East</c:v>
                </c:pt>
                <c:pt idx="2">
                  <c:v>North</c:v>
                </c:pt>
                <c:pt idx="3">
                  <c:v>South</c:v>
                </c:pt>
                <c:pt idx="4">
                  <c:v>West</c:v>
                </c:pt>
              </c:strCache>
            </c:strRef>
          </c:cat>
          <c:val>
            <c:numRef>
              <c:f>Pivottables!$O$3:$O$7</c:f>
              <c:numCache>
                <c:formatCode>\$#,##0,\k</c:formatCode>
                <c:ptCount val="5"/>
                <c:pt idx="0">
                  <c:v>216879.61999999997</c:v>
                </c:pt>
                <c:pt idx="1">
                  <c:v>180643.72999999992</c:v>
                </c:pt>
                <c:pt idx="2">
                  <c:v>203699.66999999995</c:v>
                </c:pt>
                <c:pt idx="3">
                  <c:v>157256.24</c:v>
                </c:pt>
                <c:pt idx="4">
                  <c:v>224060.35</c:v>
                </c:pt>
              </c:numCache>
            </c:numRef>
          </c:val>
          <c:extLst>
            <c:ext xmlns:c16="http://schemas.microsoft.com/office/drawing/2014/chart" uri="{C3380CC4-5D6E-409C-BE32-E72D297353CC}">
              <c16:uniqueId val="{00000000-114B-42FD-A969-BDF7F9B0AE1F}"/>
            </c:ext>
          </c:extLst>
        </c:ser>
        <c:dLbls>
          <c:showLegendKey val="0"/>
          <c:showVal val="0"/>
          <c:showCatName val="0"/>
          <c:showSerName val="0"/>
          <c:showPercent val="0"/>
          <c:showBubbleSize val="0"/>
        </c:dLbls>
        <c:gapWidth val="219"/>
        <c:overlap val="-27"/>
        <c:axId val="279438927"/>
        <c:axId val="286307487"/>
      </c:barChart>
      <c:catAx>
        <c:axId val="27943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6307487"/>
        <c:crosses val="autoZero"/>
        <c:auto val="1"/>
        <c:lblAlgn val="ctr"/>
        <c:lblOffset val="100"/>
        <c:noMultiLvlLbl val="0"/>
      </c:catAx>
      <c:valAx>
        <c:axId val="286307487"/>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943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[Sales_Performance_Dashboard.xlsx]Pivottables!PivotTable20</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a:t>
            </a:r>
            <a:r>
              <a:rPr lang="en-US" baseline="0"/>
              <a:t> by channel</a:t>
            </a:r>
            <a:endParaRPr lang="en-US"/>
          </a:p>
        </c:rich>
      </c:tx>
      <c:layout>
        <c:manualLayout>
          <c:xMode val="edge"/>
          <c:yMode val="edge"/>
          <c:x val="0.16914414414414414"/>
          <c:y val="4.956629491945477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5110735780383945E-2"/>
          <c:y val="0.19126756214296742"/>
          <c:w val="0.5827596323873413"/>
          <c:h val="0.7564448561576862"/>
        </c:manualLayout>
      </c:layout>
      <c:pieChart>
        <c:varyColors val="1"/>
        <c:ser>
          <c:idx val="0"/>
          <c:order val="0"/>
          <c:tx>
            <c:strRef>
              <c:f>Pivottables!$R$2</c:f>
              <c:strCache>
                <c:ptCount val="1"/>
                <c:pt idx="0">
                  <c:v>Total</c:v>
                </c:pt>
              </c:strCache>
            </c:strRef>
          </c:tx>
          <c:dPt>
            <c:idx val="0"/>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CA7-4F59-9FD8-A06807580E56}"/>
              </c:ext>
            </c:extLst>
          </c:dPt>
          <c:dPt>
            <c:idx val="1"/>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CA7-4F59-9FD8-A06807580E56}"/>
              </c:ext>
            </c:extLst>
          </c:dPt>
          <c:dPt>
            <c:idx val="2"/>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CA7-4F59-9FD8-A06807580E56}"/>
              </c:ext>
            </c:extLst>
          </c:dPt>
          <c:dPt>
            <c:idx val="3"/>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CA7-4F59-9FD8-A06807580E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Pivottables!$Q$3:$Q$6</c:f>
              <c:strCache>
                <c:ptCount val="4"/>
                <c:pt idx="0">
                  <c:v>Direct Sales</c:v>
                </c:pt>
                <c:pt idx="1">
                  <c:v>Online</c:v>
                </c:pt>
                <c:pt idx="2">
                  <c:v>Retail Store</c:v>
                </c:pt>
                <c:pt idx="3">
                  <c:v>Wholesale</c:v>
                </c:pt>
              </c:strCache>
            </c:strRef>
          </c:cat>
          <c:val>
            <c:numRef>
              <c:f>Pivottables!$R$3:$R$6</c:f>
              <c:numCache>
                <c:formatCode>0.00%</c:formatCode>
                <c:ptCount val="4"/>
                <c:pt idx="0">
                  <c:v>0.28211620903507406</c:v>
                </c:pt>
                <c:pt idx="1">
                  <c:v>0.26961441279705756</c:v>
                </c:pt>
                <c:pt idx="2">
                  <c:v>0.22498199334681271</c:v>
                </c:pt>
                <c:pt idx="3">
                  <c:v>0.22328738482105567</c:v>
                </c:pt>
              </c:numCache>
            </c:numRef>
          </c:val>
          <c:extLst>
            <c:ext xmlns:c16="http://schemas.microsoft.com/office/drawing/2014/chart" uri="{C3380CC4-5D6E-409C-BE32-E72D297353CC}">
              <c16:uniqueId val="{00000000-63E8-4E1E-8A65-7732343C6E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[Sales_Performance_Dashboard.xlsx]Pivottables!PivotTable22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Rep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29328765567172"/>
          <c:y val="0.20605555555555555"/>
          <c:w val="0.52714143932464019"/>
          <c:h val="0.62062073490813652"/>
        </c:manualLayout>
      </c:layout>
      <c:barChart>
        <c:barDir val="bar"/>
        <c:grouping val="stacked"/>
        <c:varyColors val="0"/>
        <c:ser>
          <c:idx val="0"/>
          <c:order val="0"/>
          <c:tx>
            <c:strRef>
              <c:f>Pivottables!$Y$2</c:f>
              <c:strCache>
                <c:ptCount val="1"/>
                <c:pt idx="0">
                  <c:v>Total</c:v>
                </c:pt>
              </c:strCache>
            </c:strRef>
          </c:tx>
          <c:spPr>
            <a:solidFill>
              <a:schemeClr val="accent1"/>
            </a:solidFill>
            <a:ln>
              <a:noFill/>
            </a:ln>
            <a:effectLst/>
          </c:spPr>
          <c:invertIfNegative val="0"/>
          <c:cat>
            <c:strRef>
              <c:f>Pivottables!$X$3:$X$7</c:f>
              <c:strCache>
                <c:ptCount val="5"/>
                <c:pt idx="0">
                  <c:v>Emma Brown</c:v>
                </c:pt>
                <c:pt idx="1">
                  <c:v>David Lee</c:v>
                </c:pt>
                <c:pt idx="2">
                  <c:v>Grace Miller</c:v>
                </c:pt>
                <c:pt idx="3">
                  <c:v>Henry Wilson</c:v>
                </c:pt>
                <c:pt idx="4">
                  <c:v>Jack Anderson</c:v>
                </c:pt>
              </c:strCache>
            </c:strRef>
          </c:cat>
          <c:val>
            <c:numRef>
              <c:f>Pivottables!$Y$3:$Y$7</c:f>
              <c:numCache>
                <c:formatCode>\$#,##0,\k</c:formatCode>
                <c:ptCount val="5"/>
                <c:pt idx="0">
                  <c:v>107320.69999999998</c:v>
                </c:pt>
                <c:pt idx="1">
                  <c:v>107518.31000000001</c:v>
                </c:pt>
                <c:pt idx="2">
                  <c:v>109472.07000000002</c:v>
                </c:pt>
                <c:pt idx="3">
                  <c:v>109961.75999999998</c:v>
                </c:pt>
                <c:pt idx="4">
                  <c:v>112622.63999999998</c:v>
                </c:pt>
              </c:numCache>
            </c:numRef>
          </c:val>
          <c:extLst>
            <c:ext xmlns:c16="http://schemas.microsoft.com/office/drawing/2014/chart" uri="{C3380CC4-5D6E-409C-BE32-E72D297353CC}">
              <c16:uniqueId val="{00000000-68DD-45FE-956A-714A4E19A67B}"/>
            </c:ext>
          </c:extLst>
        </c:ser>
        <c:dLbls>
          <c:showLegendKey val="0"/>
          <c:showVal val="0"/>
          <c:showCatName val="0"/>
          <c:showSerName val="0"/>
          <c:showPercent val="0"/>
          <c:showBubbleSize val="0"/>
        </c:dLbls>
        <c:gapWidth val="150"/>
        <c:overlap val="100"/>
        <c:axId val="1491283727"/>
        <c:axId val="1491280367"/>
      </c:barChart>
      <c:catAx>
        <c:axId val="149128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1280367"/>
        <c:crosses val="autoZero"/>
        <c:auto val="1"/>
        <c:lblAlgn val="ctr"/>
        <c:lblOffset val="100"/>
        <c:noMultiLvlLbl val="0"/>
      </c:catAx>
      <c:valAx>
        <c:axId val="1491280367"/>
        <c:scaling>
          <c:orientation val="minMax"/>
        </c:scaling>
        <c:delete val="0"/>
        <c:axPos val="b"/>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128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[Sales_Performance_Dashboard.xlsx]Pivottables!PivotTable18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Revenue</a:t>
            </a:r>
            <a:r>
              <a:rPr lang="en-US" sz="1400" b="1" baseline="0"/>
              <a:t> by Month</a:t>
            </a:r>
            <a:endParaRPr lang="en-US" sz="1400" b="1"/>
          </a:p>
        </c:rich>
      </c:tx>
      <c:layout>
        <c:manualLayout>
          <c:xMode val="edge"/>
          <c:yMode val="edge"/>
          <c:x val="0.34768139120037439"/>
          <c:y val="3.97157478256409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2777539111408"/>
          <c:y val="0.21993626943130309"/>
          <c:w val="0.79590784317328056"/>
          <c:h val="0.5764925303121845"/>
        </c:manualLayout>
      </c:layout>
      <c:lineChart>
        <c:grouping val="standard"/>
        <c:varyColors val="0"/>
        <c:ser>
          <c:idx val="0"/>
          <c:order val="0"/>
          <c:tx>
            <c:strRef>
              <c:f>Pivottables!$L$2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Pivottables!$K$3:$K$8</c:f>
              <c:strCache>
                <c:ptCount val="6"/>
                <c:pt idx="0">
                  <c:v>Jul</c:v>
                </c:pt>
                <c:pt idx="1">
                  <c:v>Aug</c:v>
                </c:pt>
                <c:pt idx="2">
                  <c:v>Sep</c:v>
                </c:pt>
                <c:pt idx="3">
                  <c:v>Oct</c:v>
                </c:pt>
                <c:pt idx="4">
                  <c:v>Nov</c:v>
                </c:pt>
                <c:pt idx="5">
                  <c:v>Dec</c:v>
                </c:pt>
              </c:strCache>
            </c:strRef>
          </c:cat>
          <c:val>
            <c:numRef>
              <c:f>Pivottables!$L$3:$L$8</c:f>
              <c:numCache>
                <c:formatCode>\$#,##0,\k</c:formatCode>
                <c:ptCount val="6"/>
                <c:pt idx="0">
                  <c:v>155710.37000000002</c:v>
                </c:pt>
                <c:pt idx="1">
                  <c:v>208251.92999999991</c:v>
                </c:pt>
                <c:pt idx="2">
                  <c:v>130592.87999999993</c:v>
                </c:pt>
                <c:pt idx="3">
                  <c:v>191123.31000000003</c:v>
                </c:pt>
                <c:pt idx="4">
                  <c:v>113860.26</c:v>
                </c:pt>
                <c:pt idx="5">
                  <c:v>183000.85999999993</c:v>
                </c:pt>
              </c:numCache>
            </c:numRef>
          </c:val>
          <c:smooth val="0"/>
          <c:extLst>
            <c:ext xmlns:c16="http://schemas.microsoft.com/office/drawing/2014/chart" uri="{C3380CC4-5D6E-409C-BE32-E72D297353CC}">
              <c16:uniqueId val="{00000000-F880-4FF8-B17D-763D7655BBBB}"/>
            </c:ext>
          </c:extLst>
        </c:ser>
        <c:dLbls>
          <c:showLegendKey val="0"/>
          <c:showVal val="0"/>
          <c:showCatName val="0"/>
          <c:showSerName val="0"/>
          <c:showPercent val="0"/>
          <c:showBubbleSize val="0"/>
        </c:dLbls>
        <c:marker val="1"/>
        <c:smooth val="0"/>
        <c:axId val="285693631"/>
        <c:axId val="285700351"/>
      </c:lineChart>
      <c:catAx>
        <c:axId val="28569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5700351"/>
        <c:crosses val="autoZero"/>
        <c:auto val="1"/>
        <c:lblAlgn val="ctr"/>
        <c:lblOffset val="100"/>
        <c:noMultiLvlLbl val="0"/>
      </c:catAx>
      <c:valAx>
        <c:axId val="285700351"/>
        <c:scaling>
          <c:orientation val="minMax"/>
        </c:scaling>
        <c:delete val="0"/>
        <c:axPos val="l"/>
        <c:majorGridlines>
          <c:spPr>
            <a:ln w="9525" cap="flat" cmpd="sng" algn="ctr">
              <a:no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569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[Sales_Performance_Dashboard.xlsx]Pivottables!PivotTable22</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Top 5</a:t>
            </a:r>
            <a:r>
              <a:rPr lang="en-US" sz="1600" b="1" baseline="0"/>
              <a:t> </a:t>
            </a:r>
            <a:r>
              <a:rPr lang="en-US" sz="1600" b="1"/>
              <a:t>Sales</a:t>
            </a:r>
            <a:r>
              <a:rPr lang="en-US" sz="1600" b="1" baseline="0"/>
              <a:t> Rep by Revenue</a:t>
            </a:r>
            <a:endParaRPr lang="en-US" sz="1600"/>
          </a:p>
        </c:rich>
      </c:tx>
      <c:layout>
        <c:manualLayout>
          <c:xMode val="edge"/>
          <c:yMode val="edge"/>
          <c:x val="0.19295735535121306"/>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725490962995413"/>
              <c:y val="4.30480748697541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68235349335669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7751641758353494"/>
              <c:y val="4.30480748697537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8313731318765123"/>
              <c:y val="-7.892055889751833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8810463447164508"/>
              <c:y val="1.6948060964534772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794251205651012"/>
                  <c:h val="6.0202902185960895E-2"/>
                </c:manualLayout>
              </c15:layout>
            </c:ext>
          </c:extLst>
        </c:dLbl>
      </c:pivotFmt>
      <c:pivotFmt>
        <c:idx val="8"/>
        <c:spPr>
          <a:solidFill>
            <a:schemeClr val="accent1"/>
          </a:solidFill>
          <a:ln>
            <a:noFill/>
          </a:ln>
          <a:effectLst/>
        </c:spPr>
        <c:dLbl>
          <c:idx val="0"/>
          <c:layout>
            <c:manualLayout>
              <c:x val="0.34771248987957182"/>
              <c:y val="4.304807486975334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800786948852236"/>
                  <c:h val="5.1593287212010071E-2"/>
                </c:manualLayout>
              </c15:layout>
            </c:ext>
          </c:extLst>
        </c:dLbl>
      </c:pivotFmt>
      <c:pivotFmt>
        <c:idx val="9"/>
        <c:spPr>
          <a:solidFill>
            <a:schemeClr val="accent1"/>
          </a:solidFill>
          <a:ln>
            <a:noFill/>
          </a:ln>
          <a:effectLst/>
        </c:spPr>
        <c:dLbl>
          <c:idx val="0"/>
          <c:layout>
            <c:manualLayout>
              <c:x val="0.3228758834596023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9241838143551672"/>
              <c:y val="4.30480748697541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29803927703963295"/>
              <c:y val="2.152403743487703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072421197554669"/>
                  <c:h val="7.3117324646887139E-2"/>
                </c:manualLayout>
              </c15:layout>
            </c:ext>
          </c:extLst>
        </c:dLbl>
      </c:pivotFmt>
      <c:pivotFmt>
        <c:idx val="12"/>
        <c:spPr>
          <a:solidFill>
            <a:schemeClr val="accent1"/>
          </a:solidFill>
          <a:ln>
            <a:noFill/>
          </a:ln>
          <a:effectLst/>
        </c:spPr>
        <c:dLbl>
          <c:idx val="0"/>
          <c:layout>
            <c:manualLayout>
              <c:x val="0.258300706767681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39136233675309"/>
          <c:y val="0.21865506967347867"/>
          <c:w val="0.61814441215468319"/>
          <c:h val="0.65151058067446499"/>
        </c:manualLayout>
      </c:layout>
      <c:barChart>
        <c:barDir val="bar"/>
        <c:grouping val="stacked"/>
        <c:varyColors val="0"/>
        <c:ser>
          <c:idx val="0"/>
          <c:order val="0"/>
          <c:tx>
            <c:strRef>
              <c:f>Pivottables!$Y$2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A-F01E-499B-A1E2-482C7513DF0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9-F01E-499B-A1E2-482C7513DF0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8-F01E-499B-A1E2-482C7513DF0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F01E-499B-A1E2-482C7513DF0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F01E-499B-A1E2-482C7513DF01}"/>
              </c:ext>
            </c:extLst>
          </c:dPt>
          <c:dLbls>
            <c:dLbl>
              <c:idx val="0"/>
              <c:layout>
                <c:manualLayout>
                  <c:x val="0.34771248987957182"/>
                  <c:y val="4.304807486975334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800786948852236"/>
                      <c:h val="5.1593287212010071E-2"/>
                    </c:manualLayout>
                  </c15:layout>
                </c:ext>
                <c:ext xmlns:c16="http://schemas.microsoft.com/office/drawing/2014/chart" uri="{C3380CC4-5D6E-409C-BE32-E72D297353CC}">
                  <c16:uniqueId val="{0000000A-F01E-499B-A1E2-482C7513DF01}"/>
                </c:ext>
              </c:extLst>
            </c:dLbl>
            <c:dLbl>
              <c:idx val="1"/>
              <c:layout>
                <c:manualLayout>
                  <c:x val="0.3228758834596023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01E-499B-A1E2-482C7513DF01}"/>
                </c:ext>
              </c:extLst>
            </c:dLbl>
            <c:dLbl>
              <c:idx val="2"/>
              <c:layout>
                <c:manualLayout>
                  <c:x val="0.28313731318765123"/>
                  <c:y val="-7.892055889751833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01E-499B-A1E2-482C7513DF01}"/>
                </c:ext>
              </c:extLst>
            </c:dLbl>
            <c:dLbl>
              <c:idx val="3"/>
              <c:layout>
                <c:manualLayout>
                  <c:x val="0.37751641758353494"/>
                  <c:y val="4.304807486975375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1E-499B-A1E2-482C7513DF01}"/>
                </c:ext>
              </c:extLst>
            </c:dLbl>
            <c:dLbl>
              <c:idx val="4"/>
              <c:layout>
                <c:manualLayout>
                  <c:x val="0.3725490962995413"/>
                  <c:y val="4.304807486975414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01E-499B-A1E2-482C7513DF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Pivottables!$X$3:$X$7</c:f>
              <c:strCache>
                <c:ptCount val="5"/>
                <c:pt idx="0">
                  <c:v>Emma Brown</c:v>
                </c:pt>
                <c:pt idx="1">
                  <c:v>David Lee</c:v>
                </c:pt>
                <c:pt idx="2">
                  <c:v>Grace Miller</c:v>
                </c:pt>
                <c:pt idx="3">
                  <c:v>Henry Wilson</c:v>
                </c:pt>
                <c:pt idx="4">
                  <c:v>Jack Anderson</c:v>
                </c:pt>
              </c:strCache>
            </c:strRef>
          </c:cat>
          <c:val>
            <c:numRef>
              <c:f>Pivottables!$Y$3:$Y$7</c:f>
              <c:numCache>
                <c:formatCode>\$#,##0,\k</c:formatCode>
                <c:ptCount val="5"/>
                <c:pt idx="0">
                  <c:v>107320.69999999998</c:v>
                </c:pt>
                <c:pt idx="1">
                  <c:v>107518.31000000001</c:v>
                </c:pt>
                <c:pt idx="2">
                  <c:v>109472.07000000002</c:v>
                </c:pt>
                <c:pt idx="3">
                  <c:v>109961.75999999998</c:v>
                </c:pt>
                <c:pt idx="4">
                  <c:v>112622.63999999998</c:v>
                </c:pt>
              </c:numCache>
            </c:numRef>
          </c:val>
          <c:extLst>
            <c:ext xmlns:c16="http://schemas.microsoft.com/office/drawing/2014/chart" uri="{C3380CC4-5D6E-409C-BE32-E72D297353CC}">
              <c16:uniqueId val="{00000000-F01E-499B-A1E2-482C7513DF01}"/>
            </c:ext>
          </c:extLst>
        </c:ser>
        <c:dLbls>
          <c:dLblPos val="ctr"/>
          <c:showLegendKey val="0"/>
          <c:showVal val="1"/>
          <c:showCatName val="0"/>
          <c:showSerName val="0"/>
          <c:showPercent val="0"/>
          <c:showBubbleSize val="0"/>
        </c:dLbls>
        <c:gapWidth val="100"/>
        <c:overlap val="100"/>
        <c:axId val="1491283727"/>
        <c:axId val="1491280367"/>
      </c:barChart>
      <c:catAx>
        <c:axId val="149128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1280367"/>
        <c:crosses val="autoZero"/>
        <c:auto val="1"/>
        <c:lblAlgn val="ctr"/>
        <c:lblOffset val="100"/>
        <c:noMultiLvlLbl val="0"/>
      </c:catAx>
      <c:valAx>
        <c:axId val="1491280367"/>
        <c:scaling>
          <c:orientation val="minMax"/>
        </c:scaling>
        <c:delete val="0"/>
        <c:axPos val="b"/>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128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[Sales_Performance_Dashboard.xlsx]Pivottables!PivotTable19</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Region</a:t>
            </a:r>
            <a:endParaRPr lang="en-US" sz="1600" b="1"/>
          </a:p>
        </c:rich>
      </c:tx>
      <c:layout>
        <c:manualLayout>
          <c:xMode val="edge"/>
          <c:yMode val="edge"/>
          <c:x val="0.16537936833570738"/>
          <c:y val="3.22500699253282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14074796057898"/>
          <c:y val="0.18983853606027987"/>
          <c:w val="0.72644244054344453"/>
          <c:h val="0.68874803997186029"/>
        </c:manualLayout>
      </c:layout>
      <c:barChart>
        <c:barDir val="col"/>
        <c:grouping val="clustered"/>
        <c:varyColors val="0"/>
        <c:ser>
          <c:idx val="0"/>
          <c:order val="0"/>
          <c:tx>
            <c:strRef>
              <c:f>Pivottables!$O$2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Pivottables!$N$3:$N$7</c:f>
              <c:strCache>
                <c:ptCount val="5"/>
                <c:pt idx="0">
                  <c:v>Central</c:v>
                </c:pt>
                <c:pt idx="1">
                  <c:v>East</c:v>
                </c:pt>
                <c:pt idx="2">
                  <c:v>North</c:v>
                </c:pt>
                <c:pt idx="3">
                  <c:v>South</c:v>
                </c:pt>
                <c:pt idx="4">
                  <c:v>West</c:v>
                </c:pt>
              </c:strCache>
            </c:strRef>
          </c:cat>
          <c:val>
            <c:numRef>
              <c:f>Pivottables!$O$3:$O$7</c:f>
              <c:numCache>
                <c:formatCode>\$#,##0,\k</c:formatCode>
                <c:ptCount val="5"/>
                <c:pt idx="0">
                  <c:v>216879.61999999997</c:v>
                </c:pt>
                <c:pt idx="1">
                  <c:v>180643.72999999992</c:v>
                </c:pt>
                <c:pt idx="2">
                  <c:v>203699.66999999995</c:v>
                </c:pt>
                <c:pt idx="3">
                  <c:v>157256.24</c:v>
                </c:pt>
                <c:pt idx="4">
                  <c:v>224060.35</c:v>
                </c:pt>
              </c:numCache>
            </c:numRef>
          </c:val>
          <c:extLst>
            <c:ext xmlns:c16="http://schemas.microsoft.com/office/drawing/2014/chart" uri="{C3380CC4-5D6E-409C-BE32-E72D297353CC}">
              <c16:uniqueId val="{00000000-3178-4AA1-A2D1-CCC16BE4ED1D}"/>
            </c:ext>
          </c:extLst>
        </c:ser>
        <c:dLbls>
          <c:dLblPos val="outEnd"/>
          <c:showLegendKey val="0"/>
          <c:showVal val="1"/>
          <c:showCatName val="0"/>
          <c:showSerName val="0"/>
          <c:showPercent val="0"/>
          <c:showBubbleSize val="0"/>
        </c:dLbls>
        <c:gapWidth val="88"/>
        <c:overlap val="-27"/>
        <c:axId val="279438927"/>
        <c:axId val="286307487"/>
      </c:barChart>
      <c:catAx>
        <c:axId val="27943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6307487"/>
        <c:crosses val="autoZero"/>
        <c:auto val="1"/>
        <c:lblAlgn val="ctr"/>
        <c:lblOffset val="100"/>
        <c:noMultiLvlLbl val="0"/>
      </c:catAx>
      <c:valAx>
        <c:axId val="286307487"/>
        <c:scaling>
          <c:orientation val="minMax"/>
        </c:scaling>
        <c:delete val="0"/>
        <c:axPos val="l"/>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943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[Sales_Performance_Dashboard.xlsx]Pivottables!PivotTable21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Revenue</a:t>
            </a:r>
            <a:r>
              <a:rPr lang="en-IN" sz="1400" b="1" baseline="0"/>
              <a:t>  &amp; Profit by Category</a:t>
            </a:r>
            <a:endParaRPr lang="en-IN" b="1"/>
          </a:p>
        </c:rich>
      </c:tx>
      <c:layout>
        <c:manualLayout>
          <c:xMode val="edge"/>
          <c:yMode val="edge"/>
          <c:x val="0.292151143592385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44673716144521"/>
          <c:y val="0.19586690806700197"/>
          <c:w val="0.62330699876893525"/>
          <c:h val="0.5570701589722532"/>
        </c:manualLayout>
      </c:layout>
      <c:barChart>
        <c:barDir val="col"/>
        <c:grouping val="clustered"/>
        <c:varyColors val="0"/>
        <c:ser>
          <c:idx val="0"/>
          <c:order val="0"/>
          <c:tx>
            <c:strRef>
              <c:f>Pivottables!$U$2</c:f>
              <c:strCache>
                <c:ptCount val="1"/>
                <c:pt idx="0">
                  <c:v>Sum of Gross Profit ($)</c:v>
                </c:pt>
              </c:strCache>
            </c:strRef>
          </c:tx>
          <c:spPr>
            <a:solidFill>
              <a:schemeClr val="accent1">
                <a:shade val="76000"/>
              </a:schemeClr>
            </a:solidFill>
            <a:ln>
              <a:noFill/>
            </a:ln>
            <a:effectLst/>
          </c:spPr>
          <c:invertIfNegative val="0"/>
          <c:cat>
            <c:strRef>
              <c:f>Pivottables!$T$3:$T$8</c:f>
              <c:strCache>
                <c:ptCount val="6"/>
                <c:pt idx="0">
                  <c:v>Electronics</c:v>
                </c:pt>
                <c:pt idx="1">
                  <c:v>Home &amp; Garden</c:v>
                </c:pt>
                <c:pt idx="2">
                  <c:v>Sports</c:v>
                </c:pt>
                <c:pt idx="3">
                  <c:v>Beauty</c:v>
                </c:pt>
                <c:pt idx="4">
                  <c:v>Clothing</c:v>
                </c:pt>
                <c:pt idx="5">
                  <c:v>Food &amp; Beverage</c:v>
                </c:pt>
              </c:strCache>
            </c:strRef>
          </c:cat>
          <c:val>
            <c:numRef>
              <c:f>Pivottables!$U$3:$U$8</c:f>
              <c:numCache>
                <c:formatCode>\$#,##0,\k</c:formatCode>
                <c:ptCount val="6"/>
                <c:pt idx="0">
                  <c:v>238632.14000000004</c:v>
                </c:pt>
                <c:pt idx="1">
                  <c:v>104078.84</c:v>
                </c:pt>
                <c:pt idx="2">
                  <c:v>68236.100000000006</c:v>
                </c:pt>
                <c:pt idx="3">
                  <c:v>38385.339999999989</c:v>
                </c:pt>
                <c:pt idx="4">
                  <c:v>31565.22</c:v>
                </c:pt>
                <c:pt idx="5">
                  <c:v>19242.940000000002</c:v>
                </c:pt>
              </c:numCache>
            </c:numRef>
          </c:val>
          <c:extLst>
            <c:ext xmlns:c16="http://schemas.microsoft.com/office/drawing/2014/chart" uri="{C3380CC4-5D6E-409C-BE32-E72D297353CC}">
              <c16:uniqueId val="{00000000-41D2-4864-84B4-883694364906}"/>
            </c:ext>
          </c:extLst>
        </c:ser>
        <c:ser>
          <c:idx val="1"/>
          <c:order val="1"/>
          <c:tx>
            <c:strRef>
              <c:f>Pivottables!$V$2</c:f>
              <c:strCache>
                <c:ptCount val="1"/>
                <c:pt idx="0">
                  <c:v>Sum of Net Revenue ($)</c:v>
                </c:pt>
              </c:strCache>
            </c:strRef>
          </c:tx>
          <c:spPr>
            <a:solidFill>
              <a:schemeClr val="accent1">
                <a:tint val="77000"/>
              </a:schemeClr>
            </a:solidFill>
            <a:ln>
              <a:noFill/>
            </a:ln>
            <a:effectLst/>
          </c:spPr>
          <c:invertIfNegative val="0"/>
          <c:cat>
            <c:strRef>
              <c:f>Pivottables!$T$3:$T$8</c:f>
              <c:strCache>
                <c:ptCount val="6"/>
                <c:pt idx="0">
                  <c:v>Electronics</c:v>
                </c:pt>
                <c:pt idx="1">
                  <c:v>Home &amp; Garden</c:v>
                </c:pt>
                <c:pt idx="2">
                  <c:v>Sports</c:v>
                </c:pt>
                <c:pt idx="3">
                  <c:v>Beauty</c:v>
                </c:pt>
                <c:pt idx="4">
                  <c:v>Clothing</c:v>
                </c:pt>
                <c:pt idx="5">
                  <c:v>Food &amp; Beverage</c:v>
                </c:pt>
              </c:strCache>
            </c:strRef>
          </c:cat>
          <c:val>
            <c:numRef>
              <c:f>Pivottables!$V$3:$V$8</c:f>
              <c:numCache>
                <c:formatCode>\$#,##0,\k</c:formatCode>
                <c:ptCount val="6"/>
                <c:pt idx="0">
                  <c:v>471313.55</c:v>
                </c:pt>
                <c:pt idx="1">
                  <c:v>203459.19</c:v>
                </c:pt>
                <c:pt idx="2">
                  <c:v>132754.18999999997</c:v>
                </c:pt>
                <c:pt idx="3">
                  <c:v>73866.300000000017</c:v>
                </c:pt>
                <c:pt idx="4">
                  <c:v>62467.199999999997</c:v>
                </c:pt>
                <c:pt idx="5">
                  <c:v>38679.179999999993</c:v>
                </c:pt>
              </c:numCache>
            </c:numRef>
          </c:val>
          <c:extLst>
            <c:ext xmlns:c16="http://schemas.microsoft.com/office/drawing/2014/chart" uri="{C3380CC4-5D6E-409C-BE32-E72D297353CC}">
              <c16:uniqueId val="{00000001-41D2-4864-84B4-883694364906}"/>
            </c:ext>
          </c:extLst>
        </c:ser>
        <c:dLbls>
          <c:dLblPos val="outEnd"/>
          <c:showLegendKey val="0"/>
          <c:showVal val="0"/>
          <c:showCatName val="0"/>
          <c:showSerName val="0"/>
          <c:showPercent val="0"/>
          <c:showBubbleSize val="0"/>
        </c:dLbls>
        <c:gapWidth val="100"/>
        <c:axId val="1833807311"/>
        <c:axId val="1833808751"/>
      </c:barChart>
      <c:catAx>
        <c:axId val="183380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3808751"/>
        <c:crosses val="autoZero"/>
        <c:auto val="1"/>
        <c:lblAlgn val="ctr"/>
        <c:lblOffset val="100"/>
        <c:noMultiLvlLbl val="0"/>
      </c:catAx>
      <c:valAx>
        <c:axId val="1833808751"/>
        <c:scaling>
          <c:orientation val="minMax"/>
        </c:scaling>
        <c:delete val="0"/>
        <c:axPos val="l"/>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3807311"/>
        <c:crosses val="autoZero"/>
        <c:crossBetween val="between"/>
      </c:valAx>
      <c:spPr>
        <a:noFill/>
        <a:ln>
          <a:noFill/>
        </a:ln>
        <a:effectLst/>
      </c:spPr>
    </c:plotArea>
    <c:legend>
      <c:legendPos val="r"/>
      <c:layout>
        <c:manualLayout>
          <c:xMode val="edge"/>
          <c:yMode val="edge"/>
          <c:x val="0.83575019051737454"/>
          <c:y val="0.14956310627836408"/>
          <c:w val="0.16181869101307386"/>
          <c:h val="0.7898757179349074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[Sales_Performance_Dashboard.xlsx]Pivottables!PivotTable20</c:name>
    <c:fmtId val="2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a:t>
            </a:r>
            <a:r>
              <a:rPr lang="en-US" baseline="0"/>
              <a:t> by channel</a:t>
            </a:r>
            <a:endParaRPr lang="en-US"/>
          </a:p>
        </c:rich>
      </c:tx>
      <c:layout>
        <c:manualLayout>
          <c:xMode val="edge"/>
          <c:yMode val="edge"/>
          <c:x val="0.16914415129326985"/>
          <c:y val="3.2676891916737345E-2"/>
        </c:manualLayout>
      </c:layout>
      <c:overlay val="0"/>
      <c:spPr>
        <a:noFill/>
        <a:ln>
          <a:noFill/>
        </a:ln>
        <a:effectLst/>
      </c:sp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3369875477517509"/>
              <c:y val="-0.1154680294070003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144323647423388"/>
              <c:y val="0.132663596645635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852698855143"/>
          <c:y val="0.15070136376194693"/>
          <c:w val="0.70998776821167109"/>
          <c:h val="0.63953882311323651"/>
        </c:manualLayout>
      </c:layout>
      <c:pieChart>
        <c:varyColors val="1"/>
        <c:ser>
          <c:idx val="0"/>
          <c:order val="0"/>
          <c:tx>
            <c:strRef>
              <c:f>Pivottables!$R$2</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D16-4E6A-B49F-8315245167A3}"/>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D16-4E6A-B49F-8315245167A3}"/>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D16-4E6A-B49F-8315245167A3}"/>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D16-4E6A-B49F-8315245167A3}"/>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9D16-4E6A-B49F-8315245167A3}"/>
                </c:ext>
              </c:extLst>
            </c:dLbl>
            <c:dLbl>
              <c:idx val="2"/>
              <c:layout>
                <c:manualLayout>
                  <c:x val="0.13369875477517509"/>
                  <c:y val="-0.11546802940700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16-4E6A-B49F-8315245167A3}"/>
                </c:ext>
              </c:extLst>
            </c:dLbl>
            <c:dLbl>
              <c:idx val="3"/>
              <c:layout>
                <c:manualLayout>
                  <c:x val="0.15144323647423388"/>
                  <c:y val="0.13266359664563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16-4E6A-B49F-8315245167A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Pivottables!$Q$3:$Q$6</c:f>
              <c:strCache>
                <c:ptCount val="4"/>
                <c:pt idx="0">
                  <c:v>Direct Sales</c:v>
                </c:pt>
                <c:pt idx="1">
                  <c:v>Online</c:v>
                </c:pt>
                <c:pt idx="2">
                  <c:v>Retail Store</c:v>
                </c:pt>
                <c:pt idx="3">
                  <c:v>Wholesale</c:v>
                </c:pt>
              </c:strCache>
            </c:strRef>
          </c:cat>
          <c:val>
            <c:numRef>
              <c:f>Pivottables!$R$3:$R$6</c:f>
              <c:numCache>
                <c:formatCode>0.00%</c:formatCode>
                <c:ptCount val="4"/>
                <c:pt idx="0">
                  <c:v>0.28211620903507406</c:v>
                </c:pt>
                <c:pt idx="1">
                  <c:v>0.26961441279705756</c:v>
                </c:pt>
                <c:pt idx="2">
                  <c:v>0.22498199334681271</c:v>
                </c:pt>
                <c:pt idx="3">
                  <c:v>0.22328738482105567</c:v>
                </c:pt>
              </c:numCache>
            </c:numRef>
          </c:val>
          <c:extLst>
            <c:ext xmlns:c16="http://schemas.microsoft.com/office/drawing/2014/chart" uri="{C3380CC4-5D6E-409C-BE32-E72D297353CC}">
              <c16:uniqueId val="{00000008-9D16-4E6A-B49F-8315245167A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6.2033695365724568E-2"/>
          <c:y val="0.8129090429728475"/>
          <c:w val="0.8907809077802884"/>
          <c:h val="0.1670246822992217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10.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9.png"/><Relationship Id="rId5" Type="http://schemas.openxmlformats.org/officeDocument/2006/relationships/chart" Target="../charts/chart6.xml"/><Relationship Id="rId15" Type="http://schemas.openxmlformats.org/officeDocument/2006/relationships/chart" Target="../charts/chart8.xml"/><Relationship Id="rId10" Type="http://schemas.openxmlformats.org/officeDocument/2006/relationships/image" Target="../media/image8.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editAs="oneCell">
    <xdr:from>
      <xdr:col>3</xdr:col>
      <xdr:colOff>411480</xdr:colOff>
      <xdr:row>8</xdr:row>
      <xdr:rowOff>38101</xdr:rowOff>
    </xdr:from>
    <xdr:to>
      <xdr:col>4</xdr:col>
      <xdr:colOff>441960</xdr:colOff>
      <xdr:row>16</xdr:row>
      <xdr:rowOff>53340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41C0FF02-2F26-B69F-EB63-77950036A0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67200" y="1501141"/>
              <a:ext cx="1051560" cy="147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609600</xdr:colOff>
      <xdr:row>8</xdr:row>
      <xdr:rowOff>53340</xdr:rowOff>
    </xdr:from>
    <xdr:to>
      <xdr:col>6</xdr:col>
      <xdr:colOff>365760</xdr:colOff>
      <xdr:row>16</xdr:row>
      <xdr:rowOff>38099</xdr:rowOff>
    </xdr:to>
    <mc:AlternateContent xmlns:mc="http://schemas.openxmlformats.org/markup-compatibility/2006" xmlns:a14="http://schemas.microsoft.com/office/drawing/2010/main">
      <mc:Choice Requires="a14">
        <xdr:graphicFrame macro="">
          <xdr:nvGraphicFramePr>
            <xdr:cNvPr id="15" name="Channel">
              <a:extLst>
                <a:ext uri="{FF2B5EF4-FFF2-40B4-BE49-F238E27FC236}">
                  <a16:creationId xmlns:a16="http://schemas.microsoft.com/office/drawing/2014/main" id="{DE10C23F-6A96-9C77-E7AF-98D84377B58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6347460" y="1516380"/>
              <a:ext cx="121920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586740</xdr:colOff>
      <xdr:row>10</xdr:row>
      <xdr:rowOff>38100</xdr:rowOff>
    </xdr:from>
    <xdr:to>
      <xdr:col>21</xdr:col>
      <xdr:colOff>952500</xdr:colOff>
      <xdr:row>24</xdr:row>
      <xdr:rowOff>121920</xdr:rowOff>
    </xdr:to>
    <xdr:graphicFrame macro="">
      <xdr:nvGraphicFramePr>
        <xdr:cNvPr id="17" name="Chart 16">
          <a:extLst>
            <a:ext uri="{FF2B5EF4-FFF2-40B4-BE49-F238E27FC236}">
              <a16:creationId xmlns:a16="http://schemas.microsoft.com/office/drawing/2014/main" id="{CC493F3D-8841-6D92-7F87-760D0BAC5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14</xdr:row>
      <xdr:rowOff>167640</xdr:rowOff>
    </xdr:from>
    <xdr:to>
      <xdr:col>12</xdr:col>
      <xdr:colOff>548640</xdr:colOff>
      <xdr:row>22</xdr:row>
      <xdr:rowOff>30480</xdr:rowOff>
    </xdr:to>
    <xdr:graphicFrame macro="">
      <xdr:nvGraphicFramePr>
        <xdr:cNvPr id="18" name="Chart 17">
          <a:extLst>
            <a:ext uri="{FF2B5EF4-FFF2-40B4-BE49-F238E27FC236}">
              <a16:creationId xmlns:a16="http://schemas.microsoft.com/office/drawing/2014/main" id="{453CB605-0939-8CA4-85F6-D532A3C34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335280</xdr:colOff>
      <xdr:row>7</xdr:row>
      <xdr:rowOff>121920</xdr:rowOff>
    </xdr:from>
    <xdr:to>
      <xdr:col>15</xdr:col>
      <xdr:colOff>236220</xdr:colOff>
      <xdr:row>18</xdr:row>
      <xdr:rowOff>0</xdr:rowOff>
    </xdr:to>
    <xdr:graphicFrame macro="">
      <xdr:nvGraphicFramePr>
        <xdr:cNvPr id="19" name="Chart 18">
          <a:extLst>
            <a:ext uri="{FF2B5EF4-FFF2-40B4-BE49-F238E27FC236}">
              <a16:creationId xmlns:a16="http://schemas.microsoft.com/office/drawing/2014/main" id="{99BC1003-8456-5D6B-935B-50354D6AD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396240</xdr:colOff>
      <xdr:row>6</xdr:row>
      <xdr:rowOff>167640</xdr:rowOff>
    </xdr:from>
    <xdr:to>
      <xdr:col>17</xdr:col>
      <xdr:colOff>1447800</xdr:colOff>
      <xdr:row>17</xdr:row>
      <xdr:rowOff>99060</xdr:rowOff>
    </xdr:to>
    <xdr:graphicFrame macro="">
      <xdr:nvGraphicFramePr>
        <xdr:cNvPr id="20" name="Chart 19">
          <a:extLst>
            <a:ext uri="{FF2B5EF4-FFF2-40B4-BE49-F238E27FC236}">
              <a16:creationId xmlns:a16="http://schemas.microsoft.com/office/drawing/2014/main" id="{8889DE25-545D-13F5-4FF3-2E061976C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38100</xdr:colOff>
      <xdr:row>12</xdr:row>
      <xdr:rowOff>160020</xdr:rowOff>
    </xdr:from>
    <xdr:to>
      <xdr:col>25</xdr:col>
      <xdr:colOff>449580</xdr:colOff>
      <xdr:row>25</xdr:row>
      <xdr:rowOff>68580</xdr:rowOff>
    </xdr:to>
    <xdr:graphicFrame macro="">
      <xdr:nvGraphicFramePr>
        <xdr:cNvPr id="22" name="Chart 21">
          <a:extLst>
            <a:ext uri="{FF2B5EF4-FFF2-40B4-BE49-F238E27FC236}">
              <a16:creationId xmlns:a16="http://schemas.microsoft.com/office/drawing/2014/main" id="{4CE3D4D3-10AD-793A-6259-6A6AE2259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464820</xdr:colOff>
      <xdr:row>8</xdr:row>
      <xdr:rowOff>76201</xdr:rowOff>
    </xdr:from>
    <xdr:to>
      <xdr:col>5</xdr:col>
      <xdr:colOff>533400</xdr:colOff>
      <xdr:row>16</xdr:row>
      <xdr:rowOff>76200</xdr:rowOff>
    </xdr:to>
    <mc:AlternateContent xmlns:mc="http://schemas.openxmlformats.org/markup-compatibility/2006" xmlns:a14="http://schemas.microsoft.com/office/drawing/2010/main">
      <mc:Choice Requires="a14">
        <xdr:graphicFrame macro="">
          <xdr:nvGraphicFramePr>
            <xdr:cNvPr id="3" name="Quarter 1">
              <a:extLst>
                <a:ext uri="{FF2B5EF4-FFF2-40B4-BE49-F238E27FC236}">
                  <a16:creationId xmlns:a16="http://schemas.microsoft.com/office/drawing/2014/main" id="{A059CA9F-0D6D-25F3-BE8C-2D1EAAC87973}"/>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5341620" y="1539241"/>
              <a:ext cx="92964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100263</xdr:rowOff>
    </xdr:from>
    <xdr:to>
      <xdr:col>20</xdr:col>
      <xdr:colOff>340895</xdr:colOff>
      <xdr:row>34</xdr:row>
      <xdr:rowOff>34146</xdr:rowOff>
    </xdr:to>
    <xdr:sp macro="" textlink="">
      <xdr:nvSpPr>
        <xdr:cNvPr id="177" name="Rectangle: Rounded Corners 176">
          <a:extLst>
            <a:ext uri="{FF2B5EF4-FFF2-40B4-BE49-F238E27FC236}">
              <a16:creationId xmlns:a16="http://schemas.microsoft.com/office/drawing/2014/main" id="{995DAEDA-FE6A-EA28-8D4E-57B9B1EA60A7}"/>
            </a:ext>
          </a:extLst>
        </xdr:cNvPr>
        <xdr:cNvSpPr/>
      </xdr:nvSpPr>
      <xdr:spPr>
        <a:xfrm>
          <a:off x="381000" y="286530"/>
          <a:ext cx="11923295" cy="6080683"/>
        </a:xfrm>
        <a:prstGeom prst="roundRect">
          <a:avLst>
            <a:gd name="adj" fmla="val 336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highlight>
                <a:srgbClr val="FFFF00"/>
              </a:highlight>
            </a:rPr>
            <a:t>0</a:t>
          </a:r>
        </a:p>
      </xdr:txBody>
    </xdr:sp>
    <xdr:clientData/>
  </xdr:twoCellAnchor>
  <xdr:twoCellAnchor>
    <xdr:from>
      <xdr:col>1</xdr:col>
      <xdr:colOff>160403</xdr:colOff>
      <xdr:row>2</xdr:row>
      <xdr:rowOff>70186</xdr:rowOff>
    </xdr:from>
    <xdr:to>
      <xdr:col>8</xdr:col>
      <xdr:colOff>95250</xdr:colOff>
      <xdr:row>7</xdr:row>
      <xdr:rowOff>152401</xdr:rowOff>
    </xdr:to>
    <xdr:sp macro="" textlink="">
      <xdr:nvSpPr>
        <xdr:cNvPr id="178" name="Rectangle: Rounded Corners 177">
          <a:extLst>
            <a:ext uri="{FF2B5EF4-FFF2-40B4-BE49-F238E27FC236}">
              <a16:creationId xmlns:a16="http://schemas.microsoft.com/office/drawing/2014/main" id="{BACDEC45-E368-5EC7-C53C-3E9A025E1A92}"/>
            </a:ext>
          </a:extLst>
        </xdr:cNvPr>
        <xdr:cNvSpPr/>
      </xdr:nvSpPr>
      <xdr:spPr>
        <a:xfrm>
          <a:off x="541403" y="432136"/>
          <a:ext cx="4202047" cy="98709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90" b="1">
              <a:solidFill>
                <a:schemeClr val="bg1"/>
              </a:solidFill>
            </a:rPr>
            <a:t>Sales</a:t>
          </a:r>
          <a:r>
            <a:rPr lang="en-IN" sz="2090" b="1" baseline="0">
              <a:solidFill>
                <a:schemeClr val="bg1"/>
              </a:solidFill>
            </a:rPr>
            <a:t> Performance Dashboard-2024</a:t>
          </a:r>
        </a:p>
        <a:p>
          <a:pPr algn="ctr"/>
          <a:r>
            <a:rPr lang="en-IN" sz="1400" b="1" baseline="0">
              <a:solidFill>
                <a:schemeClr val="bg1"/>
              </a:solidFill>
            </a:rPr>
            <a:t>Regional and Channel Performance Overview</a:t>
          </a:r>
          <a:endParaRPr lang="en-IN" sz="1600" b="1">
            <a:solidFill>
              <a:schemeClr val="bg1"/>
            </a:solidFill>
          </a:endParaRPr>
        </a:p>
      </xdr:txBody>
    </xdr:sp>
    <xdr:clientData/>
  </xdr:twoCellAnchor>
  <xdr:twoCellAnchor>
    <xdr:from>
      <xdr:col>8</xdr:col>
      <xdr:colOff>251460</xdr:colOff>
      <xdr:row>2</xdr:row>
      <xdr:rowOff>80211</xdr:rowOff>
    </xdr:from>
    <xdr:to>
      <xdr:col>11</xdr:col>
      <xdr:colOff>180473</xdr:colOff>
      <xdr:row>7</xdr:row>
      <xdr:rowOff>160421</xdr:rowOff>
    </xdr:to>
    <xdr:sp macro="" textlink="">
      <xdr:nvSpPr>
        <xdr:cNvPr id="179" name="Rectangle: Rounded Corners 178">
          <a:extLst>
            <a:ext uri="{FF2B5EF4-FFF2-40B4-BE49-F238E27FC236}">
              <a16:creationId xmlns:a16="http://schemas.microsoft.com/office/drawing/2014/main" id="{23F884B4-959C-56C0-67B1-12E9B8AF1665}"/>
            </a:ext>
          </a:extLst>
        </xdr:cNvPr>
        <xdr:cNvSpPr/>
      </xdr:nvSpPr>
      <xdr:spPr>
        <a:xfrm>
          <a:off x="4913697" y="441158"/>
          <a:ext cx="1763829" cy="98257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1200" b="1">
              <a:solidFill>
                <a:schemeClr val="tx1">
                  <a:lumMod val="65000"/>
                  <a:lumOff val="35000"/>
                </a:schemeClr>
              </a:solidFill>
            </a:rPr>
            <a:t>TOTAL</a:t>
          </a:r>
          <a:r>
            <a:rPr lang="en-IN" sz="1200" b="1" baseline="0">
              <a:solidFill>
                <a:schemeClr val="tx1">
                  <a:lumMod val="65000"/>
                  <a:lumOff val="35000"/>
                </a:schemeClr>
              </a:solidFill>
            </a:rPr>
            <a:t> NET REVENUE</a:t>
          </a:r>
          <a:endParaRPr lang="en-IN" sz="2400" b="1">
            <a:solidFill>
              <a:schemeClr val="tx1">
                <a:lumMod val="65000"/>
                <a:lumOff val="35000"/>
              </a:schemeClr>
            </a:solidFill>
          </a:endParaRPr>
        </a:p>
      </xdr:txBody>
    </xdr:sp>
    <xdr:clientData/>
  </xdr:twoCellAnchor>
  <xdr:twoCellAnchor>
    <xdr:from>
      <xdr:col>11</xdr:col>
      <xdr:colOff>311912</xdr:colOff>
      <xdr:row>2</xdr:row>
      <xdr:rowOff>80211</xdr:rowOff>
    </xdr:from>
    <xdr:to>
      <xdr:col>14</xdr:col>
      <xdr:colOff>220579</xdr:colOff>
      <xdr:row>7</xdr:row>
      <xdr:rowOff>160421</xdr:rowOff>
    </xdr:to>
    <xdr:sp macro="" textlink="">
      <xdr:nvSpPr>
        <xdr:cNvPr id="180" name="Rectangle: Rounded Corners 179">
          <a:extLst>
            <a:ext uri="{FF2B5EF4-FFF2-40B4-BE49-F238E27FC236}">
              <a16:creationId xmlns:a16="http://schemas.microsoft.com/office/drawing/2014/main" id="{712BDA00-9848-E9FB-813E-6A6541ACC9AA}"/>
            </a:ext>
          </a:extLst>
        </xdr:cNvPr>
        <xdr:cNvSpPr/>
      </xdr:nvSpPr>
      <xdr:spPr>
        <a:xfrm>
          <a:off x="6808965" y="441158"/>
          <a:ext cx="1743482" cy="98257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1200" b="1">
              <a:solidFill>
                <a:schemeClr val="tx1">
                  <a:lumMod val="65000"/>
                  <a:lumOff val="35000"/>
                </a:schemeClr>
              </a:solidFill>
            </a:rPr>
            <a:t>GROSS MARGIN (%)</a:t>
          </a:r>
          <a:endParaRPr lang="en-IN" sz="2000" b="1">
            <a:solidFill>
              <a:schemeClr val="tx1">
                <a:lumMod val="65000"/>
                <a:lumOff val="35000"/>
              </a:schemeClr>
            </a:solidFill>
          </a:endParaRPr>
        </a:p>
      </xdr:txBody>
    </xdr:sp>
    <xdr:clientData/>
  </xdr:twoCellAnchor>
  <xdr:twoCellAnchor>
    <xdr:from>
      <xdr:col>14</xdr:col>
      <xdr:colOff>348844</xdr:colOff>
      <xdr:row>2</xdr:row>
      <xdr:rowOff>80211</xdr:rowOff>
    </xdr:from>
    <xdr:to>
      <xdr:col>17</xdr:col>
      <xdr:colOff>240632</xdr:colOff>
      <xdr:row>7</xdr:row>
      <xdr:rowOff>160421</xdr:rowOff>
    </xdr:to>
    <xdr:sp macro="" textlink="">
      <xdr:nvSpPr>
        <xdr:cNvPr id="181" name="Rectangle: Rounded Corners 180">
          <a:extLst>
            <a:ext uri="{FF2B5EF4-FFF2-40B4-BE49-F238E27FC236}">
              <a16:creationId xmlns:a16="http://schemas.microsoft.com/office/drawing/2014/main" id="{E55987EB-85F5-8490-9D1E-D47F2534455F}"/>
            </a:ext>
          </a:extLst>
        </xdr:cNvPr>
        <xdr:cNvSpPr/>
      </xdr:nvSpPr>
      <xdr:spPr>
        <a:xfrm>
          <a:off x="8680712" y="441158"/>
          <a:ext cx="1726604" cy="98257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1200" b="1">
              <a:solidFill>
                <a:schemeClr val="tx1">
                  <a:lumMod val="65000"/>
                  <a:lumOff val="35000"/>
                </a:schemeClr>
              </a:solidFill>
            </a:rPr>
            <a:t>TOTAL ORDERS</a:t>
          </a:r>
          <a:endParaRPr lang="en-IN" sz="1800" b="1">
            <a:solidFill>
              <a:schemeClr val="tx1">
                <a:lumMod val="65000"/>
                <a:lumOff val="35000"/>
              </a:schemeClr>
            </a:solidFill>
          </a:endParaRPr>
        </a:p>
      </xdr:txBody>
    </xdr:sp>
    <xdr:clientData/>
  </xdr:twoCellAnchor>
  <xdr:twoCellAnchor>
    <xdr:from>
      <xdr:col>17</xdr:col>
      <xdr:colOff>169028</xdr:colOff>
      <xdr:row>8</xdr:row>
      <xdr:rowOff>124395</xdr:rowOff>
    </xdr:from>
    <xdr:to>
      <xdr:col>20</xdr:col>
      <xdr:colOff>188374</xdr:colOff>
      <xdr:row>16</xdr:row>
      <xdr:rowOff>10026</xdr:rowOff>
    </xdr:to>
    <xdr:sp macro="" textlink="">
      <xdr:nvSpPr>
        <xdr:cNvPr id="182" name="Rectangle: Rounded Corners 181">
          <a:extLst>
            <a:ext uri="{FF2B5EF4-FFF2-40B4-BE49-F238E27FC236}">
              <a16:creationId xmlns:a16="http://schemas.microsoft.com/office/drawing/2014/main" id="{679EF285-D54A-D417-BA3F-748A88BC377D}"/>
            </a:ext>
          </a:extLst>
        </xdr:cNvPr>
        <xdr:cNvSpPr/>
      </xdr:nvSpPr>
      <xdr:spPr>
        <a:xfrm>
          <a:off x="10335712" y="1568184"/>
          <a:ext cx="1854162" cy="1329421"/>
        </a:xfrm>
        <a:prstGeom prst="roundRect">
          <a:avLst>
            <a:gd name="adj" fmla="val 120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1200" b="1">
              <a:solidFill>
                <a:schemeClr val="tx1">
                  <a:lumMod val="65000"/>
                  <a:lumOff val="35000"/>
                </a:schemeClr>
              </a:solidFill>
            </a:rPr>
            <a:t>TOP</a:t>
          </a:r>
          <a:r>
            <a:rPr lang="en-IN" sz="1200" b="1" baseline="0">
              <a:solidFill>
                <a:schemeClr val="tx1">
                  <a:lumMod val="65000"/>
                  <a:lumOff val="35000"/>
                </a:schemeClr>
              </a:solidFill>
            </a:rPr>
            <a:t> REGION</a:t>
          </a:r>
          <a:endParaRPr lang="en-IN" sz="1600" b="1">
            <a:solidFill>
              <a:schemeClr val="tx1">
                <a:lumMod val="65000"/>
                <a:lumOff val="35000"/>
              </a:schemeClr>
            </a:solidFill>
          </a:endParaRPr>
        </a:p>
      </xdr:txBody>
    </xdr:sp>
    <xdr:clientData/>
  </xdr:twoCellAnchor>
  <xdr:twoCellAnchor>
    <xdr:from>
      <xdr:col>4</xdr:col>
      <xdr:colOff>90238</xdr:colOff>
      <xdr:row>8</xdr:row>
      <xdr:rowOff>123825</xdr:rowOff>
    </xdr:from>
    <xdr:to>
      <xdr:col>8</xdr:col>
      <xdr:colOff>171450</xdr:colOff>
      <xdr:row>24</xdr:row>
      <xdr:rowOff>90237</xdr:rowOff>
    </xdr:to>
    <xdr:sp macro="" textlink="">
      <xdr:nvSpPr>
        <xdr:cNvPr id="183" name="Rectangle: Rounded Corners 182">
          <a:extLst>
            <a:ext uri="{FF2B5EF4-FFF2-40B4-BE49-F238E27FC236}">
              <a16:creationId xmlns:a16="http://schemas.microsoft.com/office/drawing/2014/main" id="{FF69AB95-51A7-0F38-D1B7-DB33F66D5E46}"/>
            </a:ext>
          </a:extLst>
        </xdr:cNvPr>
        <xdr:cNvSpPr/>
      </xdr:nvSpPr>
      <xdr:spPr>
        <a:xfrm>
          <a:off x="2300038" y="1613958"/>
          <a:ext cx="2519612" cy="2946679"/>
        </a:xfrm>
        <a:prstGeom prst="roundRect">
          <a:avLst>
            <a:gd name="adj" fmla="val 41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161925</xdr:colOff>
      <xdr:row>8</xdr:row>
      <xdr:rowOff>123825</xdr:rowOff>
    </xdr:from>
    <xdr:to>
      <xdr:col>3</xdr:col>
      <xdr:colOff>533400</xdr:colOff>
      <xdr:row>14</xdr:row>
      <xdr:rowOff>28575</xdr:rowOff>
    </xdr:to>
    <xdr:sp macro="" textlink="">
      <xdr:nvSpPr>
        <xdr:cNvPr id="184" name="Rectangle: Rounded Corners 183">
          <a:extLst>
            <a:ext uri="{FF2B5EF4-FFF2-40B4-BE49-F238E27FC236}">
              <a16:creationId xmlns:a16="http://schemas.microsoft.com/office/drawing/2014/main" id="{3E9BE450-3248-F052-C5E5-60EDA5BD2ABB}"/>
            </a:ext>
          </a:extLst>
        </xdr:cNvPr>
        <xdr:cNvSpPr/>
      </xdr:nvSpPr>
      <xdr:spPr>
        <a:xfrm>
          <a:off x="542925" y="1613958"/>
          <a:ext cx="1590675" cy="1022350"/>
        </a:xfrm>
        <a:prstGeom prst="roundRect">
          <a:avLst>
            <a:gd name="adj" fmla="val 88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1200" b="1">
              <a:solidFill>
                <a:schemeClr val="tx1">
                  <a:lumMod val="65000"/>
                  <a:lumOff val="35000"/>
                </a:schemeClr>
              </a:solidFill>
            </a:rPr>
            <a:t>CSAT SCORE</a:t>
          </a:r>
          <a:endParaRPr lang="en-IN" sz="1400" b="1">
            <a:solidFill>
              <a:schemeClr val="tx1">
                <a:lumMod val="65000"/>
                <a:lumOff val="35000"/>
              </a:schemeClr>
            </a:solidFill>
          </a:endParaRPr>
        </a:p>
      </xdr:txBody>
    </xdr:sp>
    <xdr:clientData/>
  </xdr:twoCellAnchor>
  <xdr:twoCellAnchor>
    <xdr:from>
      <xdr:col>1</xdr:col>
      <xdr:colOff>160421</xdr:colOff>
      <xdr:row>25</xdr:row>
      <xdr:rowOff>30078</xdr:rowOff>
    </xdr:from>
    <xdr:to>
      <xdr:col>3</xdr:col>
      <xdr:colOff>551447</xdr:colOff>
      <xdr:row>33</xdr:row>
      <xdr:rowOff>40105</xdr:rowOff>
    </xdr:to>
    <xdr:sp macro="" textlink="">
      <xdr:nvSpPr>
        <xdr:cNvPr id="186" name="Rectangle: Rounded Corners 185">
          <a:extLst>
            <a:ext uri="{FF2B5EF4-FFF2-40B4-BE49-F238E27FC236}">
              <a16:creationId xmlns:a16="http://schemas.microsoft.com/office/drawing/2014/main" id="{C2DA804F-E919-46A2-3933-A65C6346BA13}"/>
            </a:ext>
          </a:extLst>
        </xdr:cNvPr>
        <xdr:cNvSpPr/>
      </xdr:nvSpPr>
      <xdr:spPr>
        <a:xfrm>
          <a:off x="541421" y="4554453"/>
          <a:ext cx="1610226" cy="1457827"/>
        </a:xfrm>
        <a:prstGeom prst="roundRect">
          <a:avLst>
            <a:gd name="adj" fmla="val 56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358139</xdr:colOff>
      <xdr:row>2</xdr:row>
      <xdr:rowOff>90237</xdr:rowOff>
    </xdr:from>
    <xdr:to>
      <xdr:col>20</xdr:col>
      <xdr:colOff>200526</xdr:colOff>
      <xdr:row>7</xdr:row>
      <xdr:rowOff>160421</xdr:rowOff>
    </xdr:to>
    <xdr:sp macro="" textlink="">
      <xdr:nvSpPr>
        <xdr:cNvPr id="189" name="Rectangle: Rounded Corners 188">
          <a:extLst>
            <a:ext uri="{FF2B5EF4-FFF2-40B4-BE49-F238E27FC236}">
              <a16:creationId xmlns:a16="http://schemas.microsoft.com/office/drawing/2014/main" id="{015EC543-0FC2-3E00-6FA5-A5B55F6FA006}"/>
            </a:ext>
          </a:extLst>
        </xdr:cNvPr>
        <xdr:cNvSpPr/>
      </xdr:nvSpPr>
      <xdr:spPr>
        <a:xfrm>
          <a:off x="10492739" y="462770"/>
          <a:ext cx="1671187" cy="100151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1200" b="1">
              <a:solidFill>
                <a:schemeClr val="tx1">
                  <a:lumMod val="65000"/>
                  <a:lumOff val="35000"/>
                </a:schemeClr>
              </a:solidFill>
            </a:rPr>
            <a:t>QoQ REVENUE GROWTH </a:t>
          </a:r>
          <a:endParaRPr lang="en-IN" sz="1800" b="1">
            <a:solidFill>
              <a:schemeClr val="tx1">
                <a:lumMod val="65000"/>
                <a:lumOff val="35000"/>
              </a:schemeClr>
            </a:solidFill>
          </a:endParaRPr>
        </a:p>
      </xdr:txBody>
    </xdr:sp>
    <xdr:clientData/>
  </xdr:twoCellAnchor>
  <xdr:twoCellAnchor>
    <xdr:from>
      <xdr:col>17</xdr:col>
      <xdr:colOff>160421</xdr:colOff>
      <xdr:row>16</xdr:row>
      <xdr:rowOff>148149</xdr:rowOff>
    </xdr:from>
    <xdr:to>
      <xdr:col>20</xdr:col>
      <xdr:colOff>193673</xdr:colOff>
      <xdr:row>24</xdr:row>
      <xdr:rowOff>80210</xdr:rowOff>
    </xdr:to>
    <xdr:sp macro="" textlink="">
      <xdr:nvSpPr>
        <xdr:cNvPr id="190" name="Rectangle: Rounded Corners 189">
          <a:extLst>
            <a:ext uri="{FF2B5EF4-FFF2-40B4-BE49-F238E27FC236}">
              <a16:creationId xmlns:a16="http://schemas.microsoft.com/office/drawing/2014/main" id="{0A8CD9FF-1EBA-6A68-C98C-A405C567250F}"/>
            </a:ext>
          </a:extLst>
        </xdr:cNvPr>
        <xdr:cNvSpPr/>
      </xdr:nvSpPr>
      <xdr:spPr>
        <a:xfrm>
          <a:off x="10327105" y="2674781"/>
          <a:ext cx="1868068" cy="1375850"/>
        </a:xfrm>
        <a:prstGeom prst="roundRect">
          <a:avLst>
            <a:gd name="adj" fmla="val 120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289947</xdr:colOff>
      <xdr:row>4</xdr:row>
      <xdr:rowOff>136180</xdr:rowOff>
    </xdr:from>
    <xdr:to>
      <xdr:col>11</xdr:col>
      <xdr:colOff>112032</xdr:colOff>
      <xdr:row>6</xdr:row>
      <xdr:rowOff>120315</xdr:rowOff>
    </xdr:to>
    <xdr:sp macro="" textlink="$AK$3">
      <xdr:nvSpPr>
        <xdr:cNvPr id="193" name="Rectangle: Rounded Corners 192">
          <a:extLst>
            <a:ext uri="{FF2B5EF4-FFF2-40B4-BE49-F238E27FC236}">
              <a16:creationId xmlns:a16="http://schemas.microsoft.com/office/drawing/2014/main" id="{C7DDCB14-9803-F7FC-8491-AB827E32A89B}"/>
            </a:ext>
          </a:extLst>
        </xdr:cNvPr>
        <xdr:cNvSpPr/>
      </xdr:nvSpPr>
      <xdr:spPr>
        <a:xfrm>
          <a:off x="4952184" y="858075"/>
          <a:ext cx="1656901" cy="3450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ACD712F-1B92-417C-9514-AE777F4244E6}" type="TxLink">
            <a:rPr lang="en-US" sz="2400" b="1" i="0" u="none" strike="noStrike">
              <a:solidFill>
                <a:srgbClr val="000000"/>
              </a:solidFill>
              <a:latin typeface="Calibri"/>
              <a:ea typeface="Calibri"/>
              <a:cs typeface="Calibri"/>
            </a:rPr>
            <a:pPr algn="l"/>
            <a:t>$0.98M</a:t>
          </a:fld>
          <a:endParaRPr lang="en-IN" sz="2400" b="1"/>
        </a:p>
      </xdr:txBody>
    </xdr:sp>
    <xdr:clientData/>
  </xdr:twoCellAnchor>
  <xdr:twoCellAnchor>
    <xdr:from>
      <xdr:col>11</xdr:col>
      <xdr:colOff>398832</xdr:colOff>
      <xdr:row>4</xdr:row>
      <xdr:rowOff>106102</xdr:rowOff>
    </xdr:from>
    <xdr:to>
      <xdr:col>13</xdr:col>
      <xdr:colOff>579048</xdr:colOff>
      <xdr:row>6</xdr:row>
      <xdr:rowOff>96455</xdr:rowOff>
    </xdr:to>
    <xdr:sp macro="" textlink="$AK$4">
      <xdr:nvSpPr>
        <xdr:cNvPr id="197" name="Rectangle: Rounded Corners 196">
          <a:extLst>
            <a:ext uri="{FF2B5EF4-FFF2-40B4-BE49-F238E27FC236}">
              <a16:creationId xmlns:a16="http://schemas.microsoft.com/office/drawing/2014/main" id="{E607B95E-A18F-F54B-0377-4855009F5B77}"/>
            </a:ext>
          </a:extLst>
        </xdr:cNvPr>
        <xdr:cNvSpPr/>
      </xdr:nvSpPr>
      <xdr:spPr>
        <a:xfrm>
          <a:off x="6875832" y="830002"/>
          <a:ext cx="1399416" cy="35230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4F309D3-BF03-4CF8-9270-E193538566DB}" type="TxLink">
            <a:rPr lang="en-US" sz="2400" b="1" i="0" u="none" strike="noStrike">
              <a:solidFill>
                <a:srgbClr val="000000"/>
              </a:solidFill>
              <a:latin typeface="Calibri"/>
              <a:ea typeface="Calibri"/>
              <a:cs typeface="Calibri"/>
            </a:rPr>
            <a:pPr algn="l"/>
            <a:t>51%</a:t>
          </a:fld>
          <a:endParaRPr lang="en-IN" sz="1400" b="1"/>
        </a:p>
      </xdr:txBody>
    </xdr:sp>
    <xdr:clientData/>
  </xdr:twoCellAnchor>
  <xdr:twoCellAnchor>
    <xdr:from>
      <xdr:col>14</xdr:col>
      <xdr:colOff>362254</xdr:colOff>
      <xdr:row>4</xdr:row>
      <xdr:rowOff>105340</xdr:rowOff>
    </xdr:from>
    <xdr:to>
      <xdr:col>17</xdr:col>
      <xdr:colOff>108855</xdr:colOff>
      <xdr:row>6</xdr:row>
      <xdr:rowOff>76405</xdr:rowOff>
    </xdr:to>
    <xdr:sp macro="" textlink="$AK$5">
      <xdr:nvSpPr>
        <xdr:cNvPr id="198" name="Rectangle: Rounded Corners 197">
          <a:extLst>
            <a:ext uri="{FF2B5EF4-FFF2-40B4-BE49-F238E27FC236}">
              <a16:creationId xmlns:a16="http://schemas.microsoft.com/office/drawing/2014/main" id="{44658857-8613-CBAC-ED2F-AEC177796FB8}"/>
            </a:ext>
          </a:extLst>
        </xdr:cNvPr>
        <xdr:cNvSpPr/>
      </xdr:nvSpPr>
      <xdr:spPr>
        <a:xfrm>
          <a:off x="8694122" y="827235"/>
          <a:ext cx="1581417" cy="33201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4A20B7D-BAA7-454A-A954-03281BC6668B}" type="TxLink">
            <a:rPr lang="en-US" sz="2400" b="1" i="0" u="none" strike="noStrike">
              <a:solidFill>
                <a:srgbClr val="000000"/>
              </a:solidFill>
              <a:latin typeface="Calibri"/>
              <a:ea typeface="Calibri"/>
              <a:cs typeface="Calibri"/>
            </a:rPr>
            <a:pPr algn="l"/>
            <a:t>493</a:t>
          </a:fld>
          <a:endParaRPr lang="en-IN" sz="2800" b="1"/>
        </a:p>
      </xdr:txBody>
    </xdr:sp>
    <xdr:clientData/>
  </xdr:twoCellAnchor>
  <xdr:twoCellAnchor>
    <xdr:from>
      <xdr:col>17</xdr:col>
      <xdr:colOff>212145</xdr:colOff>
      <xdr:row>10</xdr:row>
      <xdr:rowOff>137158</xdr:rowOff>
    </xdr:from>
    <xdr:to>
      <xdr:col>19</xdr:col>
      <xdr:colOff>448733</xdr:colOff>
      <xdr:row>12</xdr:row>
      <xdr:rowOff>169333</xdr:rowOff>
    </xdr:to>
    <xdr:sp macro="" textlink="$AK$9">
      <xdr:nvSpPr>
        <xdr:cNvPr id="199" name="Rectangle: Rounded Corners 198">
          <a:extLst>
            <a:ext uri="{FF2B5EF4-FFF2-40B4-BE49-F238E27FC236}">
              <a16:creationId xmlns:a16="http://schemas.microsoft.com/office/drawing/2014/main" id="{732B003E-038C-56B9-8AD4-54B24CE27080}"/>
            </a:ext>
          </a:extLst>
        </xdr:cNvPr>
        <xdr:cNvSpPr/>
      </xdr:nvSpPr>
      <xdr:spPr>
        <a:xfrm>
          <a:off x="10346745" y="1999825"/>
          <a:ext cx="1455788" cy="40470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731E3B4-230D-48B0-9C04-1E61CDACB514}" type="TxLink">
            <a:rPr lang="en-US" sz="2400" b="1" i="0" u="none" strike="noStrike">
              <a:solidFill>
                <a:srgbClr val="000000"/>
              </a:solidFill>
              <a:latin typeface="Calibri"/>
              <a:ea typeface="Calibri"/>
              <a:cs typeface="Calibri"/>
            </a:rPr>
            <a:pPr algn="l"/>
            <a:t>WEST</a:t>
          </a:fld>
          <a:endParaRPr lang="en-IN" sz="4000" b="1"/>
        </a:p>
      </xdr:txBody>
    </xdr:sp>
    <xdr:clientData/>
  </xdr:twoCellAnchor>
  <xdr:twoCellAnchor>
    <xdr:from>
      <xdr:col>17</xdr:col>
      <xdr:colOff>386443</xdr:colOff>
      <xdr:row>4</xdr:row>
      <xdr:rowOff>179050</xdr:rowOff>
    </xdr:from>
    <xdr:to>
      <xdr:col>18</xdr:col>
      <xdr:colOff>203178</xdr:colOff>
      <xdr:row>7</xdr:row>
      <xdr:rowOff>27013</xdr:rowOff>
    </xdr:to>
    <xdr:sp macro="" textlink="$AK$7">
      <xdr:nvSpPr>
        <xdr:cNvPr id="216" name="Rectangle: Rounded Corners 215">
          <a:extLst>
            <a:ext uri="{FF2B5EF4-FFF2-40B4-BE49-F238E27FC236}">
              <a16:creationId xmlns:a16="http://schemas.microsoft.com/office/drawing/2014/main" id="{4FA7BDA8-4000-ED30-5727-CCDA8074089B}"/>
            </a:ext>
          </a:extLst>
        </xdr:cNvPr>
        <xdr:cNvSpPr/>
      </xdr:nvSpPr>
      <xdr:spPr>
        <a:xfrm>
          <a:off x="10521043" y="902950"/>
          <a:ext cx="426335" cy="39088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CF6500D-84BE-4B73-890E-08F553F5BD0B}" type="TxLink">
            <a:rPr lang="en-US" sz="2400" b="0" i="0" u="none" strike="noStrike">
              <a:solidFill>
                <a:schemeClr val="tx1"/>
              </a:solidFill>
              <a:latin typeface="Calibri"/>
              <a:ea typeface="Calibri"/>
              <a:cs typeface="Calibri"/>
            </a:rPr>
            <a:pPr algn="l"/>
            <a:t>▼</a:t>
          </a:fld>
          <a:endParaRPr lang="en-IN" sz="2400">
            <a:solidFill>
              <a:schemeClr val="tx1"/>
            </a:solidFill>
          </a:endParaRPr>
        </a:p>
      </xdr:txBody>
    </xdr:sp>
    <xdr:clientData/>
  </xdr:twoCellAnchor>
  <xdr:twoCellAnchor editAs="oneCell">
    <xdr:from>
      <xdr:col>19</xdr:col>
      <xdr:colOff>340315</xdr:colOff>
      <xdr:row>2</xdr:row>
      <xdr:rowOff>154519</xdr:rowOff>
    </xdr:from>
    <xdr:to>
      <xdr:col>20</xdr:col>
      <xdr:colOff>110066</xdr:colOff>
      <xdr:row>5</xdr:row>
      <xdr:rowOff>53433</xdr:rowOff>
    </xdr:to>
    <xdr:pic>
      <xdr:nvPicPr>
        <xdr:cNvPr id="220" name="Graphic 219" descr="Upward trend">
          <a:extLst>
            <a:ext uri="{FF2B5EF4-FFF2-40B4-BE49-F238E27FC236}">
              <a16:creationId xmlns:a16="http://schemas.microsoft.com/office/drawing/2014/main" id="{5F675D86-768B-48BB-9875-8F50FC829B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94115" y="527052"/>
          <a:ext cx="379351" cy="457714"/>
        </a:xfrm>
        <a:prstGeom prst="rect">
          <a:avLst/>
        </a:prstGeom>
      </xdr:spPr>
    </xdr:pic>
    <xdr:clientData/>
  </xdr:twoCellAnchor>
  <xdr:twoCellAnchor editAs="oneCell">
    <xdr:from>
      <xdr:col>16</xdr:col>
      <xdr:colOff>220927</xdr:colOff>
      <xdr:row>4</xdr:row>
      <xdr:rowOff>37717</xdr:rowOff>
    </xdr:from>
    <xdr:to>
      <xdr:col>17</xdr:col>
      <xdr:colOff>108468</xdr:colOff>
      <xdr:row>6</xdr:row>
      <xdr:rowOff>161924</xdr:rowOff>
    </xdr:to>
    <xdr:pic>
      <xdr:nvPicPr>
        <xdr:cNvPr id="222" name="Graphic 221" descr="Business Growth">
          <a:extLst>
            <a:ext uri="{FF2B5EF4-FFF2-40B4-BE49-F238E27FC236}">
              <a16:creationId xmlns:a16="http://schemas.microsoft.com/office/drawing/2014/main" id="{FD7A7325-5858-5E8E-F52D-B8D7890F74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745927" y="761617"/>
          <a:ext cx="497141" cy="486157"/>
        </a:xfrm>
        <a:prstGeom prst="rect">
          <a:avLst/>
        </a:prstGeom>
      </xdr:spPr>
    </xdr:pic>
    <xdr:clientData/>
  </xdr:twoCellAnchor>
  <xdr:twoCellAnchor>
    <xdr:from>
      <xdr:col>1</xdr:col>
      <xdr:colOff>170613</xdr:colOff>
      <xdr:row>10</xdr:row>
      <xdr:rowOff>53965</xdr:rowOff>
    </xdr:from>
    <xdr:to>
      <xdr:col>3</xdr:col>
      <xdr:colOff>450353</xdr:colOff>
      <xdr:row>12</xdr:row>
      <xdr:rowOff>44318</xdr:rowOff>
    </xdr:to>
    <xdr:sp macro="" textlink="$AK$8">
      <xdr:nvSpPr>
        <xdr:cNvPr id="224" name="Rectangle: Rounded Corners 223">
          <a:extLst>
            <a:ext uri="{FF2B5EF4-FFF2-40B4-BE49-F238E27FC236}">
              <a16:creationId xmlns:a16="http://schemas.microsoft.com/office/drawing/2014/main" id="{4D6BA216-E18F-BCB4-F639-3FA7F8C2C214}"/>
            </a:ext>
          </a:extLst>
        </xdr:cNvPr>
        <xdr:cNvSpPr/>
      </xdr:nvSpPr>
      <xdr:spPr>
        <a:xfrm>
          <a:off x="551613" y="1916632"/>
          <a:ext cx="1498940" cy="36288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9FA42BF-61F5-447E-A8BF-535B100FF731}" type="TxLink">
            <a:rPr lang="en-US" sz="2400" b="1" i="0" u="none" strike="noStrike">
              <a:solidFill>
                <a:srgbClr val="000000"/>
              </a:solidFill>
              <a:latin typeface="Calibri"/>
              <a:ea typeface="Calibri"/>
              <a:cs typeface="Calibri"/>
            </a:rPr>
            <a:pPr algn="l"/>
            <a:t>2.88 / 5</a:t>
          </a:fld>
          <a:endParaRPr lang="en-US" sz="2400" b="1" i="0" u="none" strike="noStrike">
            <a:solidFill>
              <a:srgbClr val="000000"/>
            </a:solidFill>
            <a:latin typeface="Calibri"/>
            <a:ea typeface="Calibri"/>
            <a:cs typeface="Calibri"/>
          </a:endParaRPr>
        </a:p>
      </xdr:txBody>
    </xdr:sp>
    <xdr:clientData/>
  </xdr:twoCellAnchor>
  <xdr:twoCellAnchor>
    <xdr:from>
      <xdr:col>17</xdr:col>
      <xdr:colOff>217759</xdr:colOff>
      <xdr:row>12</xdr:row>
      <xdr:rowOff>137560</xdr:rowOff>
    </xdr:from>
    <xdr:to>
      <xdr:col>20</xdr:col>
      <xdr:colOff>22458</xdr:colOff>
      <xdr:row>14</xdr:row>
      <xdr:rowOff>173253</xdr:rowOff>
    </xdr:to>
    <xdr:sp macro="" textlink="$AK$10">
      <xdr:nvSpPr>
        <xdr:cNvPr id="226" name="Rectangle: Rounded Corners 225">
          <a:extLst>
            <a:ext uri="{FF2B5EF4-FFF2-40B4-BE49-F238E27FC236}">
              <a16:creationId xmlns:a16="http://schemas.microsoft.com/office/drawing/2014/main" id="{C857D4F6-1ABA-460C-A77F-DF9C204CF42A}"/>
            </a:ext>
          </a:extLst>
        </xdr:cNvPr>
        <xdr:cNvSpPr/>
      </xdr:nvSpPr>
      <xdr:spPr>
        <a:xfrm>
          <a:off x="10384443" y="2303244"/>
          <a:ext cx="1639515" cy="39664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F0C2CB40-F94F-4D00-AE7B-170AE7468964}" type="TxLink">
            <a:rPr lang="en-US" sz="1400" b="1" i="0" u="none" strike="noStrike">
              <a:solidFill>
                <a:schemeClr val="tx1">
                  <a:lumMod val="65000"/>
                  <a:lumOff val="35000"/>
                </a:schemeClr>
              </a:solidFill>
              <a:latin typeface="Calibri"/>
              <a:ea typeface="Calibri"/>
              <a:cs typeface="Calibri"/>
            </a:rPr>
            <a:pPr algn="l"/>
            <a:t>$224k  revenue</a:t>
          </a:fld>
          <a:endParaRPr lang="en-IN" sz="4400" b="1">
            <a:solidFill>
              <a:schemeClr val="tx1">
                <a:lumMod val="65000"/>
                <a:lumOff val="35000"/>
              </a:schemeClr>
            </a:solidFill>
          </a:endParaRPr>
        </a:p>
      </xdr:txBody>
    </xdr:sp>
    <xdr:clientData/>
  </xdr:twoCellAnchor>
  <xdr:twoCellAnchor>
    <xdr:from>
      <xdr:col>18</xdr:col>
      <xdr:colOff>143377</xdr:colOff>
      <xdr:row>5</xdr:row>
      <xdr:rowOff>24563</xdr:rowOff>
    </xdr:from>
    <xdr:to>
      <xdr:col>20</xdr:col>
      <xdr:colOff>186267</xdr:colOff>
      <xdr:row>7</xdr:row>
      <xdr:rowOff>42333</xdr:rowOff>
    </xdr:to>
    <xdr:sp macro="" textlink="$AK$6">
      <xdr:nvSpPr>
        <xdr:cNvPr id="227" name="Rectangle: Rounded Corners 226">
          <a:extLst>
            <a:ext uri="{FF2B5EF4-FFF2-40B4-BE49-F238E27FC236}">
              <a16:creationId xmlns:a16="http://schemas.microsoft.com/office/drawing/2014/main" id="{A31B4149-1A11-C105-68F2-93734E8E4388}"/>
            </a:ext>
          </a:extLst>
        </xdr:cNvPr>
        <xdr:cNvSpPr/>
      </xdr:nvSpPr>
      <xdr:spPr>
        <a:xfrm>
          <a:off x="10887577" y="955896"/>
          <a:ext cx="1262090" cy="3903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BE3FEC-D49E-4E14-9C0C-EF3561A33AB8}" type="TxLink">
            <a:rPr lang="en-US" sz="2400" b="1" i="0" u="none" strike="noStrike">
              <a:solidFill>
                <a:srgbClr val="000000"/>
              </a:solidFill>
              <a:latin typeface="Calibri"/>
              <a:ea typeface="Calibri"/>
              <a:cs typeface="Calibri"/>
            </a:rPr>
            <a:pPr algn="ctr"/>
            <a:t>-1.33%</a:t>
          </a:fld>
          <a:endParaRPr lang="en-IN" sz="6600" b="1"/>
        </a:p>
      </xdr:txBody>
    </xdr:sp>
    <xdr:clientData/>
  </xdr:twoCellAnchor>
  <xdr:twoCellAnchor>
    <xdr:from>
      <xdr:col>4</xdr:col>
      <xdr:colOff>83364</xdr:colOff>
      <xdr:row>25</xdr:row>
      <xdr:rowOff>30771</xdr:rowOff>
    </xdr:from>
    <xdr:to>
      <xdr:col>12</xdr:col>
      <xdr:colOff>70184</xdr:colOff>
      <xdr:row>33</xdr:row>
      <xdr:rowOff>60158</xdr:rowOff>
    </xdr:to>
    <xdr:sp macro="" textlink="">
      <xdr:nvSpPr>
        <xdr:cNvPr id="3" name="Rectangle: Rounded Corners 2">
          <a:extLst>
            <a:ext uri="{FF2B5EF4-FFF2-40B4-BE49-F238E27FC236}">
              <a16:creationId xmlns:a16="http://schemas.microsoft.com/office/drawing/2014/main" id="{985D67CC-DD8E-FDCB-0DD0-0469E66DBCB5}"/>
            </a:ext>
          </a:extLst>
        </xdr:cNvPr>
        <xdr:cNvSpPr/>
      </xdr:nvSpPr>
      <xdr:spPr>
        <a:xfrm>
          <a:off x="2299180" y="4542613"/>
          <a:ext cx="4879662" cy="1473177"/>
        </a:xfrm>
        <a:prstGeom prst="roundRect">
          <a:avLst>
            <a:gd name="adj" fmla="val 83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320840</xdr:colOff>
      <xdr:row>8</xdr:row>
      <xdr:rowOff>133350</xdr:rowOff>
    </xdr:from>
    <xdr:to>
      <xdr:col>12</xdr:col>
      <xdr:colOff>390525</xdr:colOff>
      <xdr:row>24</xdr:row>
      <xdr:rowOff>90236</xdr:rowOff>
    </xdr:to>
    <xdr:sp macro="" textlink="">
      <xdr:nvSpPr>
        <xdr:cNvPr id="13" name="Rectangle: Rounded Corners 12">
          <a:extLst>
            <a:ext uri="{FF2B5EF4-FFF2-40B4-BE49-F238E27FC236}">
              <a16:creationId xmlns:a16="http://schemas.microsoft.com/office/drawing/2014/main" id="{5FF1798E-8AA0-DCF8-2AA1-0D7E0FABD3F6}"/>
            </a:ext>
          </a:extLst>
        </xdr:cNvPr>
        <xdr:cNvSpPr/>
      </xdr:nvSpPr>
      <xdr:spPr>
        <a:xfrm>
          <a:off x="4969040" y="1623483"/>
          <a:ext cx="2508085" cy="2937153"/>
        </a:xfrm>
        <a:prstGeom prst="roundRect">
          <a:avLst>
            <a:gd name="adj" fmla="val 41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551446</xdr:colOff>
      <xdr:row>8</xdr:row>
      <xdr:rowOff>161924</xdr:rowOff>
    </xdr:from>
    <xdr:to>
      <xdr:col>17</xdr:col>
      <xdr:colOff>28576</xdr:colOff>
      <xdr:row>24</xdr:row>
      <xdr:rowOff>70183</xdr:rowOff>
    </xdr:to>
    <xdr:sp macro="" textlink="">
      <xdr:nvSpPr>
        <xdr:cNvPr id="14" name="Rectangle: Rounded Corners 13">
          <a:extLst>
            <a:ext uri="{FF2B5EF4-FFF2-40B4-BE49-F238E27FC236}">
              <a16:creationId xmlns:a16="http://schemas.microsoft.com/office/drawing/2014/main" id="{E4F62B2B-745F-A47C-BEDB-A7D2BBC9D318}"/>
            </a:ext>
          </a:extLst>
        </xdr:cNvPr>
        <xdr:cNvSpPr/>
      </xdr:nvSpPr>
      <xdr:spPr>
        <a:xfrm>
          <a:off x="7638046" y="1609724"/>
          <a:ext cx="2525130" cy="2803859"/>
        </a:xfrm>
        <a:prstGeom prst="roundRect">
          <a:avLst>
            <a:gd name="adj" fmla="val 41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203680</xdr:colOff>
      <xdr:row>25</xdr:row>
      <xdr:rowOff>40797</xdr:rowOff>
    </xdr:from>
    <xdr:to>
      <xdr:col>20</xdr:col>
      <xdr:colOff>190500</xdr:colOff>
      <xdr:row>33</xdr:row>
      <xdr:rowOff>70184</xdr:rowOff>
    </xdr:to>
    <xdr:sp macro="" textlink="">
      <xdr:nvSpPr>
        <xdr:cNvPr id="15" name="Rectangle: Rounded Corners 14">
          <a:extLst>
            <a:ext uri="{FF2B5EF4-FFF2-40B4-BE49-F238E27FC236}">
              <a16:creationId xmlns:a16="http://schemas.microsoft.com/office/drawing/2014/main" id="{B736BC56-F322-2166-D931-038C9D1BEFF8}"/>
            </a:ext>
          </a:extLst>
        </xdr:cNvPr>
        <xdr:cNvSpPr/>
      </xdr:nvSpPr>
      <xdr:spPr>
        <a:xfrm>
          <a:off x="7290280" y="4697464"/>
          <a:ext cx="4863620" cy="1519520"/>
        </a:xfrm>
        <a:prstGeom prst="roundRect">
          <a:avLst>
            <a:gd name="adj" fmla="val 83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591553</xdr:colOff>
      <xdr:row>24</xdr:row>
      <xdr:rowOff>177801</xdr:rowOff>
    </xdr:from>
    <xdr:to>
      <xdr:col>11</xdr:col>
      <xdr:colOff>558800</xdr:colOff>
      <xdr:row>33</xdr:row>
      <xdr:rowOff>100263</xdr:rowOff>
    </xdr:to>
    <xdr:graphicFrame macro="">
      <xdr:nvGraphicFramePr>
        <xdr:cNvPr id="19" name="Chart 18">
          <a:extLst>
            <a:ext uri="{FF2B5EF4-FFF2-40B4-BE49-F238E27FC236}">
              <a16:creationId xmlns:a16="http://schemas.microsoft.com/office/drawing/2014/main" id="{D403CB0B-6DA7-421E-B7DC-16C80F0E1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551448</xdr:colOff>
      <xdr:row>8</xdr:row>
      <xdr:rowOff>170447</xdr:rowOff>
    </xdr:from>
    <xdr:to>
      <xdr:col>17</xdr:col>
      <xdr:colOff>60158</xdr:colOff>
      <xdr:row>24</xdr:row>
      <xdr:rowOff>140370</xdr:rowOff>
    </xdr:to>
    <xdr:graphicFrame macro="">
      <xdr:nvGraphicFramePr>
        <xdr:cNvPr id="23" name="Chart 22">
          <a:extLst>
            <a:ext uri="{FF2B5EF4-FFF2-40B4-BE49-F238E27FC236}">
              <a16:creationId xmlns:a16="http://schemas.microsoft.com/office/drawing/2014/main" id="{B9B3C135-6823-4636-B6FD-475DAE0BE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152402</xdr:colOff>
      <xdr:row>15</xdr:row>
      <xdr:rowOff>0</xdr:rowOff>
    </xdr:from>
    <xdr:to>
      <xdr:col>3</xdr:col>
      <xdr:colOff>523876</xdr:colOff>
      <xdr:row>24</xdr:row>
      <xdr:rowOff>47624</xdr:rowOff>
    </xdr:to>
    <xdr:sp macro="" textlink="">
      <xdr:nvSpPr>
        <xdr:cNvPr id="27" name="Rectangle: Rounded Corners 26">
          <a:extLst>
            <a:ext uri="{FF2B5EF4-FFF2-40B4-BE49-F238E27FC236}">
              <a16:creationId xmlns:a16="http://schemas.microsoft.com/office/drawing/2014/main" id="{8CD8E03A-2112-4AAD-07AA-56B5A5DD3FFF}"/>
            </a:ext>
          </a:extLst>
        </xdr:cNvPr>
        <xdr:cNvSpPr/>
      </xdr:nvSpPr>
      <xdr:spPr>
        <a:xfrm>
          <a:off x="533402" y="2714625"/>
          <a:ext cx="1590674" cy="1676399"/>
        </a:xfrm>
        <a:prstGeom prst="roundRect">
          <a:avLst>
            <a:gd name="adj" fmla="val 772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xdr:col>
      <xdr:colOff>190501</xdr:colOff>
      <xdr:row>15</xdr:row>
      <xdr:rowOff>104776</xdr:rowOff>
    </xdr:from>
    <xdr:to>
      <xdr:col>3</xdr:col>
      <xdr:colOff>478780</xdr:colOff>
      <xdr:row>23</xdr:row>
      <xdr:rowOff>148354</xdr:rowOff>
    </xdr:to>
    <mc:AlternateContent xmlns:mc="http://schemas.openxmlformats.org/markup-compatibility/2006" xmlns:a14="http://schemas.microsoft.com/office/drawing/2010/main">
      <mc:Choice Requires="a14">
        <xdr:graphicFrame macro="">
          <xdr:nvGraphicFramePr>
            <xdr:cNvPr id="29" name="Channel 1">
              <a:extLst>
                <a:ext uri="{FF2B5EF4-FFF2-40B4-BE49-F238E27FC236}">
                  <a16:creationId xmlns:a16="http://schemas.microsoft.com/office/drawing/2014/main" id="{DD8B22EB-F196-43EF-9CE6-EB4C7D88B3E5}"/>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571501" y="2898776"/>
              <a:ext cx="1507479" cy="1533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238125</xdr:colOff>
      <xdr:row>17</xdr:row>
      <xdr:rowOff>85725</xdr:rowOff>
    </xdr:from>
    <xdr:to>
      <xdr:col>20</xdr:col>
      <xdr:colOff>114300</xdr:colOff>
      <xdr:row>24</xdr:row>
      <xdr:rowOff>0</xdr:rowOff>
    </xdr:to>
    <mc:AlternateContent xmlns:mc="http://schemas.openxmlformats.org/markup-compatibility/2006" xmlns:a14="http://schemas.microsoft.com/office/drawing/2010/main">
      <mc:Choice Requires="a14">
        <xdr:graphicFrame macro="">
          <xdr:nvGraphicFramePr>
            <xdr:cNvPr id="30" name="Region 2">
              <a:extLst>
                <a:ext uri="{FF2B5EF4-FFF2-40B4-BE49-F238E27FC236}">
                  <a16:creationId xmlns:a16="http://schemas.microsoft.com/office/drawing/2014/main" id="{D869A7D7-4D97-4881-8039-63D53AA18B3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372725" y="3252258"/>
              <a:ext cx="1704975" cy="1218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223966</xdr:colOff>
      <xdr:row>25</xdr:row>
      <xdr:rowOff>181426</xdr:rowOff>
    </xdr:from>
    <xdr:to>
      <xdr:col>3</xdr:col>
      <xdr:colOff>492266</xdr:colOff>
      <xdr:row>32</xdr:row>
      <xdr:rowOff>155098</xdr:rowOff>
    </xdr:to>
    <mc:AlternateContent xmlns:mc="http://schemas.openxmlformats.org/markup-compatibility/2006" xmlns:a14="http://schemas.microsoft.com/office/drawing/2010/main">
      <mc:Choice Requires="a14">
        <xdr:graphicFrame macro="">
          <xdr:nvGraphicFramePr>
            <xdr:cNvPr id="33" name="Quarter 3">
              <a:extLst>
                <a:ext uri="{FF2B5EF4-FFF2-40B4-BE49-F238E27FC236}">
                  <a16:creationId xmlns:a16="http://schemas.microsoft.com/office/drawing/2014/main" id="{41C7265A-1302-49DA-A69E-FAF3AD1D7AA8}"/>
                </a:ext>
              </a:extLst>
            </xdr:cNvPr>
            <xdr:cNvGraphicFramePr/>
          </xdr:nvGraphicFramePr>
          <xdr:xfrm>
            <a:off x="0" y="0"/>
            <a:ext cx="0" cy="0"/>
          </xdr:xfrm>
          <a:graphic>
            <a:graphicData uri="http://schemas.microsoft.com/office/drawing/2010/slicer">
              <sle:slicer xmlns:sle="http://schemas.microsoft.com/office/drawing/2010/slicer" name="Quarter 3"/>
            </a:graphicData>
          </a:graphic>
        </xdr:graphicFrame>
      </mc:Choice>
      <mc:Fallback xmlns="">
        <xdr:sp macro="" textlink="">
          <xdr:nvSpPr>
            <xdr:cNvPr id="0" name=""/>
            <xdr:cNvSpPr>
              <a:spLocks noTextEdit="1"/>
            </xdr:cNvSpPr>
          </xdr:nvSpPr>
          <xdr:spPr>
            <a:xfrm>
              <a:off x="604966" y="4838093"/>
              <a:ext cx="1487500" cy="1277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295771</xdr:colOff>
      <xdr:row>4</xdr:row>
      <xdr:rowOff>46824</xdr:rowOff>
    </xdr:from>
    <xdr:to>
      <xdr:col>11</xdr:col>
      <xdr:colOff>144780</xdr:colOff>
      <xdr:row>6</xdr:row>
      <xdr:rowOff>140138</xdr:rowOff>
    </xdr:to>
    <xdr:pic>
      <xdr:nvPicPr>
        <xdr:cNvPr id="34" name="Graphic 33" descr="Coins">
          <a:extLst>
            <a:ext uri="{FF2B5EF4-FFF2-40B4-BE49-F238E27FC236}">
              <a16:creationId xmlns:a16="http://schemas.microsoft.com/office/drawing/2014/main" id="{6F7233B9-5025-46B5-8FAB-69237839827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163171" y="778344"/>
          <a:ext cx="458609" cy="459074"/>
        </a:xfrm>
        <a:prstGeom prst="rect">
          <a:avLst/>
        </a:prstGeom>
      </xdr:spPr>
    </xdr:pic>
    <xdr:clientData/>
  </xdr:twoCellAnchor>
  <xdr:twoCellAnchor editAs="oneCell">
    <xdr:from>
      <xdr:col>19</xdr:col>
      <xdr:colOff>193704</xdr:colOff>
      <xdr:row>8</xdr:row>
      <xdr:rowOff>184944</xdr:rowOff>
    </xdr:from>
    <xdr:to>
      <xdr:col>20</xdr:col>
      <xdr:colOff>183092</xdr:colOff>
      <xdr:row>12</xdr:row>
      <xdr:rowOff>44750</xdr:rowOff>
    </xdr:to>
    <xdr:pic>
      <xdr:nvPicPr>
        <xdr:cNvPr id="35" name="Graphic 34" descr="Ribbon">
          <a:extLst>
            <a:ext uri="{FF2B5EF4-FFF2-40B4-BE49-F238E27FC236}">
              <a16:creationId xmlns:a16="http://schemas.microsoft.com/office/drawing/2014/main" id="{C0D03101-FD1A-4392-B460-3945666EAA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547504" y="1675077"/>
          <a:ext cx="598988" cy="604873"/>
        </a:xfrm>
        <a:prstGeom prst="rect">
          <a:avLst/>
        </a:prstGeom>
      </xdr:spPr>
    </xdr:pic>
    <xdr:clientData/>
  </xdr:twoCellAnchor>
  <xdr:twoCellAnchor editAs="oneCell">
    <xdr:from>
      <xdr:col>13</xdr:col>
      <xdr:colOff>112890</xdr:colOff>
      <xdr:row>4</xdr:row>
      <xdr:rowOff>3008</xdr:rowOff>
    </xdr:from>
    <xdr:to>
      <xdr:col>14</xdr:col>
      <xdr:colOff>9525</xdr:colOff>
      <xdr:row>6</xdr:row>
      <xdr:rowOff>137572</xdr:rowOff>
    </xdr:to>
    <xdr:pic>
      <xdr:nvPicPr>
        <xdr:cNvPr id="40" name="Graphic 39" descr="Money">
          <a:extLst>
            <a:ext uri="{FF2B5EF4-FFF2-40B4-BE49-F238E27FC236}">
              <a16:creationId xmlns:a16="http://schemas.microsoft.com/office/drawing/2014/main" id="{F9740240-0BFA-46AF-97DE-003DD8D4123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09090" y="726908"/>
          <a:ext cx="506235" cy="496514"/>
        </a:xfrm>
        <a:prstGeom prst="rect">
          <a:avLst/>
        </a:prstGeom>
      </xdr:spPr>
    </xdr:pic>
    <xdr:clientData/>
  </xdr:twoCellAnchor>
  <xdr:twoCellAnchor editAs="oneCell">
    <xdr:from>
      <xdr:col>7</xdr:col>
      <xdr:colOff>233680</xdr:colOff>
      <xdr:row>4</xdr:row>
      <xdr:rowOff>90593</xdr:rowOff>
    </xdr:from>
    <xdr:to>
      <xdr:col>7</xdr:col>
      <xdr:colOff>591452</xdr:colOff>
      <xdr:row>6</xdr:row>
      <xdr:rowOff>84666</xdr:rowOff>
    </xdr:to>
    <xdr:pic>
      <xdr:nvPicPr>
        <xdr:cNvPr id="42" name="Graphic 41" descr="Database">
          <a:extLst>
            <a:ext uri="{FF2B5EF4-FFF2-40B4-BE49-F238E27FC236}">
              <a16:creationId xmlns:a16="http://schemas.microsoft.com/office/drawing/2014/main" id="{DE9767F3-AA9F-3B8E-735E-E5ACFC72390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272280" y="835660"/>
          <a:ext cx="357772" cy="366606"/>
        </a:xfrm>
        <a:prstGeom prst="rect">
          <a:avLst/>
        </a:prstGeom>
      </xdr:spPr>
    </xdr:pic>
    <xdr:clientData/>
  </xdr:twoCellAnchor>
  <xdr:twoCellAnchor>
    <xdr:from>
      <xdr:col>4</xdr:col>
      <xdr:colOff>90238</xdr:colOff>
      <xdr:row>8</xdr:row>
      <xdr:rowOff>123824</xdr:rowOff>
    </xdr:from>
    <xdr:to>
      <xdr:col>8</xdr:col>
      <xdr:colOff>177800</xdr:colOff>
      <xdr:row>24</xdr:row>
      <xdr:rowOff>93132</xdr:rowOff>
    </xdr:to>
    <xdr:graphicFrame macro="">
      <xdr:nvGraphicFramePr>
        <xdr:cNvPr id="4" name="Chart 3">
          <a:extLst>
            <a:ext uri="{FF2B5EF4-FFF2-40B4-BE49-F238E27FC236}">
              <a16:creationId xmlns:a16="http://schemas.microsoft.com/office/drawing/2014/main" id="{B7945CDF-EB92-45A7-8A93-CCB193018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431799</xdr:colOff>
      <xdr:row>25</xdr:row>
      <xdr:rowOff>40797</xdr:rowOff>
    </xdr:from>
    <xdr:to>
      <xdr:col>20</xdr:col>
      <xdr:colOff>169332</xdr:colOff>
      <xdr:row>33</xdr:row>
      <xdr:rowOff>50800</xdr:rowOff>
    </xdr:to>
    <xdr:graphicFrame macro="">
      <xdr:nvGraphicFramePr>
        <xdr:cNvPr id="5" name="Chart 4">
          <a:extLst>
            <a:ext uri="{FF2B5EF4-FFF2-40B4-BE49-F238E27FC236}">
              <a16:creationId xmlns:a16="http://schemas.microsoft.com/office/drawing/2014/main" id="{1B7517BB-9724-4EEB-A4A7-B84ED270D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194733</xdr:colOff>
      <xdr:row>8</xdr:row>
      <xdr:rowOff>91017</xdr:rowOff>
    </xdr:from>
    <xdr:to>
      <xdr:col>12</xdr:col>
      <xdr:colOff>465667</xdr:colOff>
      <xdr:row>24</xdr:row>
      <xdr:rowOff>118533</xdr:rowOff>
    </xdr:to>
    <xdr:graphicFrame macro="">
      <xdr:nvGraphicFramePr>
        <xdr:cNvPr id="7" name="Chart 6">
          <a:extLst>
            <a:ext uri="{FF2B5EF4-FFF2-40B4-BE49-F238E27FC236}">
              <a16:creationId xmlns:a16="http://schemas.microsoft.com/office/drawing/2014/main" id="{DF27C361-4F04-40AA-9B30-F40379B69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173084</xdr:colOff>
      <xdr:row>12</xdr:row>
      <xdr:rowOff>31509</xdr:rowOff>
    </xdr:from>
    <xdr:to>
      <xdr:col>3</xdr:col>
      <xdr:colOff>501568</xdr:colOff>
      <xdr:row>14</xdr:row>
      <xdr:rowOff>9645</xdr:rowOff>
    </xdr:to>
    <xdr:sp macro="" textlink="$AK$13">
      <xdr:nvSpPr>
        <xdr:cNvPr id="8" name="Rectangle: Rounded Corners 7">
          <a:extLst>
            <a:ext uri="{FF2B5EF4-FFF2-40B4-BE49-F238E27FC236}">
              <a16:creationId xmlns:a16="http://schemas.microsoft.com/office/drawing/2014/main" id="{03E88BD3-8004-8816-20DE-B40572779ECF}"/>
            </a:ext>
          </a:extLst>
        </xdr:cNvPr>
        <xdr:cNvSpPr/>
      </xdr:nvSpPr>
      <xdr:spPr>
        <a:xfrm>
          <a:off x="558907" y="2230699"/>
          <a:ext cx="1543826" cy="34466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B4A2AFE-055A-4176-8DAB-3FBAAB1AA98B}" type="TxLink">
            <a:rPr lang="en-US" sz="1200" b="1" i="0" u="none" strike="noStrike">
              <a:solidFill>
                <a:schemeClr val="tx1">
                  <a:lumMod val="65000"/>
                  <a:lumOff val="35000"/>
                </a:schemeClr>
              </a:solidFill>
              <a:latin typeface="Calibri"/>
              <a:ea typeface="Calibri"/>
              <a:cs typeface="Calibri"/>
            </a:rPr>
            <a:pPr algn="l"/>
            <a:t>Satisfactory Rating</a:t>
          </a:fld>
          <a:endParaRPr lang="en-US" sz="1200" b="1">
            <a:solidFill>
              <a:schemeClr val="tx1">
                <a:lumMod val="65000"/>
                <a:lumOff val="35000"/>
              </a:schemeClr>
            </a:solidFill>
          </a:endParaRPr>
        </a:p>
      </xdr:txBody>
    </xdr:sp>
    <xdr:clientData/>
  </xdr:twoCellAnchor>
  <xdr:twoCellAnchor editAs="oneCell">
    <xdr:from>
      <xdr:col>3</xdr:col>
      <xdr:colOff>43392</xdr:colOff>
      <xdr:row>10</xdr:row>
      <xdr:rowOff>73026</xdr:rowOff>
    </xdr:from>
    <xdr:to>
      <xdr:col>3</xdr:col>
      <xdr:colOff>326164</xdr:colOff>
      <xdr:row>11</xdr:row>
      <xdr:rowOff>177800</xdr:rowOff>
    </xdr:to>
    <xdr:pic>
      <xdr:nvPicPr>
        <xdr:cNvPr id="9" name="Graphic 8" descr="Star">
          <a:extLst>
            <a:ext uri="{FF2B5EF4-FFF2-40B4-BE49-F238E27FC236}">
              <a16:creationId xmlns:a16="http://schemas.microsoft.com/office/drawing/2014/main" id="{C920E975-9624-4010-B9A2-1877C1A3118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643592" y="1935693"/>
          <a:ext cx="282772" cy="2910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s" refreshedDate="46106.745544444442" missingItemsLimit="0" createdVersion="8" refreshedVersion="8" minRefreshableVersion="3" recordCount="1000" xr:uid="{F8BF7F2B-C669-443C-9238-709C639E5EA1}">
  <cacheSource type="worksheet">
    <worksheetSource name="Table1"/>
  </cacheSource>
  <cacheFields count="23">
    <cacheField name="Order ID" numFmtId="0">
      <sharedItems/>
    </cacheField>
    <cacheField name="Date" numFmtId="14">
      <sharedItems containsSemiMixedTypes="0" containsNonDate="0" containsDate="1" containsString="0" minDate="2024-01-01T00:00:00" maxDate="2024-12-31T00:00:00" count="344">
        <d v="2024-01-01T00:00:00"/>
        <d v="2024-01-02T00:00:00"/>
        <d v="2024-01-03T00:00:00"/>
        <d v="2024-01-04T00:00:00"/>
        <d v="2024-01-05T00:00:00"/>
        <d v="2024-01-06T00:00:00"/>
        <d v="2024-01-07T00:00:00"/>
        <d v="2024-01-08T00:00:00"/>
        <d v="2024-01-09T00:00:00"/>
        <d v="2024-01-10T00:00:00"/>
        <d v="2024-01-11T00:00:00"/>
        <d v="2024-01-13T00:00:00"/>
        <d v="2024-01-14T00:00:00"/>
        <d v="2024-01-15T00:00:00"/>
        <d v="2024-01-16T00:00:00"/>
        <d v="2024-01-17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3T00:00:00"/>
        <d v="2024-04-04T00:00:00"/>
        <d v="2024-04-05T00:00:00"/>
        <d v="2024-04-07T00:00:00"/>
        <d v="2024-04-08T00:00:00"/>
        <d v="2024-04-09T00:00:00"/>
        <d v="2024-04-10T00:00:00"/>
        <d v="2024-04-11T00:00:00"/>
        <d v="2024-04-12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2T00:00:00"/>
        <d v="2024-07-03T00:00:00"/>
        <d v="2024-07-04T00:00:00"/>
        <d v="2024-07-05T00:00:00"/>
        <d v="2024-07-07T00:00:00"/>
        <d v="2024-07-08T00:00:00"/>
        <d v="2024-07-10T00:00:00"/>
        <d v="2024-07-11T00:00:00"/>
        <d v="2024-07-12T00:00:00"/>
        <d v="2024-07-13T00:00:00"/>
        <d v="2024-07-14T00:00:00"/>
        <d v="2024-07-15T00:00:00"/>
        <d v="2024-07-16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6T00:00:00"/>
        <d v="2024-08-17T00:00:00"/>
        <d v="2024-08-18T00:00:00"/>
        <d v="2024-08-19T00:00:00"/>
        <d v="2024-08-20T00:00:00"/>
        <d v="2024-08-21T00:00:00"/>
        <d v="2024-08-22T00:00:00"/>
        <d v="2024-08-23T00:00:00"/>
        <d v="2024-08-24T00:00:00"/>
        <d v="2024-08-25T00:00:00"/>
        <d v="2024-08-26T00:00:00"/>
        <d v="2024-08-27T00:00:00"/>
        <d v="2024-08-28T00:00:00"/>
        <d v="2024-08-30T00:00:00"/>
        <d v="2024-08-31T00:00:00"/>
        <d v="2024-09-01T00:00:00"/>
        <d v="2024-09-02T00:00:00"/>
        <d v="2024-09-03T00:00:00"/>
        <d v="2024-09-04T00:00:00"/>
        <d v="2024-09-05T00:00:00"/>
        <d v="2024-09-06T00:00:00"/>
        <d v="2024-09-07T00:00:00"/>
        <d v="2024-09-08T00:00:00"/>
        <d v="2024-09-09T00:00:00"/>
        <d v="2024-09-10T00:00:00"/>
        <d v="2024-09-12T00:00:00"/>
        <d v="2024-09-13T00:00:00"/>
        <d v="2024-09-14T00:00:00"/>
        <d v="2024-09-15T00:00:00"/>
        <d v="2024-09-16T00:00:00"/>
        <d v="2024-09-17T00:00:00"/>
        <d v="2024-09-18T00:00:00"/>
        <d v="2024-09-20T00:00:00"/>
        <d v="2024-09-21T00:00:00"/>
        <d v="2024-09-22T00:00:00"/>
        <d v="2024-09-23T00:00:00"/>
        <d v="2024-09-24T00:00:00"/>
        <d v="2024-09-25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8T00:00:00"/>
        <d v="2024-10-29T00:00:00"/>
        <d v="2024-10-30T00:00:00"/>
        <d v="2024-10-31T00:00:00"/>
        <d v="2024-11-01T00:00:00"/>
        <d v="2024-11-02T00:00:00"/>
        <d v="2024-11-03T00:00:00"/>
        <d v="2024-11-04T00:00:00"/>
        <d v="2024-11-05T00:00:00"/>
        <d v="2024-11-06T00:00:00"/>
        <d v="2024-11-07T00:00:00"/>
        <d v="2024-11-08T00:00:00"/>
        <d v="2024-11-09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30T00:00:00"/>
      </sharedItems>
      <fieldGroup par="22"/>
    </cacheField>
    <cacheField name="Month" numFmtId="0">
      <sharedItems/>
    </cacheField>
    <cacheField name="Quarter" numFmtId="0">
      <sharedItems count="4">
        <s v="Q1"/>
        <s v="Q2"/>
        <s v="Q3"/>
        <s v="Q4"/>
      </sharedItems>
    </cacheField>
    <cacheField name="Year" numFmtId="0">
      <sharedItems containsSemiMixedTypes="0" containsString="0" containsNumber="1" containsInteger="1" minValue="2024" maxValue="2024"/>
    </cacheField>
    <cacheField name="Region" numFmtId="0">
      <sharedItems count="5">
        <s v="North"/>
        <s v="East"/>
        <s v="West"/>
        <s v="Central"/>
        <s v="South"/>
      </sharedItems>
    </cacheField>
    <cacheField name="Sales Rep" numFmtId="0">
      <sharedItems count="10">
        <s v="Grace Miller"/>
        <s v="Bob Smith"/>
        <s v="David Lee"/>
        <s v="Iris Taylor"/>
        <s v="Henry Wilson"/>
        <s v="Carol White"/>
        <s v="Jack Anderson"/>
        <s v="Alice Johnson"/>
        <s v="Emma Brown"/>
        <s v="Frank Davis"/>
      </sharedItems>
    </cacheField>
    <cacheField name="Channel" numFmtId="0">
      <sharedItems count="4">
        <s v="Wholesale"/>
        <s v="Retail Store"/>
        <s v="Direct Sales"/>
        <s v="Online"/>
      </sharedItems>
    </cacheField>
    <cacheField name="Category" numFmtId="0">
      <sharedItems count="6">
        <s v="Beauty"/>
        <s v="Clothing"/>
        <s v="Food &amp; Beverage"/>
        <s v="Home &amp; Garden"/>
        <s v="Electronics"/>
        <s v="Sports"/>
      </sharedItems>
    </cacheField>
    <cacheField name="Product" numFmtId="0">
      <sharedItems/>
    </cacheField>
    <cacheField name="Quantity" numFmtId="0">
      <sharedItems containsSemiMixedTypes="0" containsString="0" containsNumber="1" containsInteger="1" minValue="1" maxValue="20"/>
    </cacheField>
    <cacheField name="Unit Price ($)" numFmtId="169">
      <sharedItems containsSemiMixedTypes="0" containsString="0" containsNumber="1" minValue="5.61" maxValue="1196.8499999999999"/>
    </cacheField>
    <cacheField name="Discount %" numFmtId="166">
      <sharedItems containsSemiMixedTypes="0" containsString="0" containsNumber="1" containsInteger="1" minValue="0" maxValue="20"/>
    </cacheField>
    <cacheField name="Gross Revenue ($)" numFmtId="169">
      <sharedItems containsSemiMixedTypes="0" containsString="0" containsNumber="1" minValue="7.87" maxValue="22008.65"/>
    </cacheField>
    <cacheField name="Discount Amount ($)" numFmtId="169">
      <sharedItems containsSemiMixedTypes="0" containsString="0" containsNumber="1" minValue="0" maxValue="3493.8"/>
    </cacheField>
    <cacheField name="Net Revenue ($)" numFmtId="3">
      <sharedItems containsSemiMixedTypes="0" containsString="0" containsNumber="1" minValue="7.33" maxValue="19807.78"/>
    </cacheField>
    <cacheField name="COGS ($)" numFmtId="169">
      <sharedItems containsSemiMixedTypes="0" containsString="0" containsNumber="1" minValue="4.07" maxValue="10098.39"/>
    </cacheField>
    <cacheField name="Gross Profit ($)" numFmtId="169">
      <sharedItems containsSemiMixedTypes="0" containsString="0" containsNumber="1" minValue="2.72" maxValue="11404.94"/>
    </cacheField>
    <cacheField name="Gross Margin %" numFmtId="166">
      <sharedItems containsSemiMixedTypes="0" containsString="0" containsNumber="1" minValue="35" maxValue="65"/>
    </cacheField>
    <cacheField name="Status" numFmtId="0">
      <sharedItems count="3">
        <s v="Pending"/>
        <s v="Returned"/>
        <s v="Completed"/>
      </sharedItems>
    </cacheField>
    <cacheField name="Customer Satisfaction" numFmtId="0">
      <sharedItems containsSemiMixedTypes="0" containsString="0" containsNumber="1" containsInteger="1" minValue="1" maxValue="5"/>
    </cacheField>
    <cacheField name="Days (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Date)"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518905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
    <x v="0"/>
    <s v="Jan 2024"/>
    <x v="0"/>
    <n v="2024"/>
    <x v="0"/>
    <x v="0"/>
    <x v="0"/>
    <x v="0"/>
    <s v="Beauty Item 29"/>
    <n v="11"/>
    <n v="126.35"/>
    <n v="0"/>
    <n v="1389.85"/>
    <n v="0"/>
    <n v="1389.85"/>
    <n v="809"/>
    <n v="580.85"/>
    <n v="41.8"/>
    <x v="0"/>
    <n v="1"/>
  </r>
  <r>
    <s v="ORD-10001"/>
    <x v="0"/>
    <s v="Jan 2024"/>
    <x v="0"/>
    <n v="2024"/>
    <x v="1"/>
    <x v="1"/>
    <x v="0"/>
    <x v="1"/>
    <s v="Clothing Item 04"/>
    <n v="18"/>
    <n v="31.97"/>
    <n v="0"/>
    <n v="575.46"/>
    <n v="0"/>
    <n v="575.46"/>
    <n v="350.73"/>
    <n v="224.73"/>
    <n v="39.1"/>
    <x v="1"/>
    <n v="5"/>
  </r>
  <r>
    <s v="ORD-10002"/>
    <x v="0"/>
    <s v="Jan 2024"/>
    <x v="0"/>
    <n v="2024"/>
    <x v="2"/>
    <x v="2"/>
    <x v="1"/>
    <x v="2"/>
    <s v="Food &amp; Beverage Item 20"/>
    <n v="14"/>
    <n v="73.290000000000006"/>
    <n v="5"/>
    <n v="1026.06"/>
    <n v="51.3"/>
    <n v="974.76"/>
    <n v="465.22"/>
    <n v="509.54"/>
    <n v="52.3"/>
    <x v="0"/>
    <n v="4"/>
  </r>
  <r>
    <s v="ORD-10003"/>
    <x v="1"/>
    <s v="Jan 2024"/>
    <x v="0"/>
    <n v="2024"/>
    <x v="3"/>
    <x v="3"/>
    <x v="0"/>
    <x v="1"/>
    <s v="Clothing Item 40"/>
    <n v="15"/>
    <n v="166.09"/>
    <n v="0"/>
    <n v="2491.35"/>
    <n v="0"/>
    <n v="2491.35"/>
    <n v="949.65"/>
    <n v="1541.7"/>
    <n v="61.9"/>
    <x v="2"/>
    <n v="2"/>
  </r>
  <r>
    <s v="ORD-10004"/>
    <x v="1"/>
    <s v="Jan 2024"/>
    <x v="0"/>
    <n v="2024"/>
    <x v="3"/>
    <x v="4"/>
    <x v="1"/>
    <x v="3"/>
    <s v="Home &amp; Garden Item 41"/>
    <n v="8"/>
    <n v="444.62"/>
    <n v="0"/>
    <n v="3556.96"/>
    <n v="0"/>
    <n v="3556.96"/>
    <n v="1818.77"/>
    <n v="1738.19"/>
    <n v="48.9"/>
    <x v="1"/>
    <n v="1"/>
  </r>
  <r>
    <s v="ORD-10005"/>
    <x v="1"/>
    <s v="Jan 2024"/>
    <x v="0"/>
    <n v="2024"/>
    <x v="0"/>
    <x v="3"/>
    <x v="2"/>
    <x v="1"/>
    <s v="Clothing Item 28"/>
    <n v="13"/>
    <n v="187.14"/>
    <n v="15"/>
    <n v="2432.8200000000002"/>
    <n v="364.92"/>
    <n v="2067.9"/>
    <n v="1159.73"/>
    <n v="908.17"/>
    <n v="43.9"/>
    <x v="2"/>
    <n v="2"/>
  </r>
  <r>
    <s v="ORD-10006"/>
    <x v="1"/>
    <s v="Jan 2024"/>
    <x v="0"/>
    <n v="2024"/>
    <x v="4"/>
    <x v="5"/>
    <x v="1"/>
    <x v="4"/>
    <s v="Electronics Item 05"/>
    <n v="6"/>
    <n v="527.13"/>
    <n v="0"/>
    <n v="3162.78"/>
    <n v="0"/>
    <n v="3162.78"/>
    <n v="2033.25"/>
    <n v="1129.53"/>
    <n v="35.700000000000003"/>
    <x v="2"/>
    <n v="1"/>
  </r>
  <r>
    <s v="ORD-10007"/>
    <x v="2"/>
    <s v="Jan 2024"/>
    <x v="0"/>
    <n v="2024"/>
    <x v="4"/>
    <x v="6"/>
    <x v="3"/>
    <x v="4"/>
    <s v="Electronics Item 07"/>
    <n v="6"/>
    <n v="505.92"/>
    <n v="0"/>
    <n v="3035.52"/>
    <n v="0"/>
    <n v="3035.52"/>
    <n v="1768.38"/>
    <n v="1267.1400000000001"/>
    <n v="41.7"/>
    <x v="0"/>
    <n v="2"/>
  </r>
  <r>
    <s v="ORD-10008"/>
    <x v="3"/>
    <s v="Jan 2024"/>
    <x v="0"/>
    <n v="2024"/>
    <x v="3"/>
    <x v="2"/>
    <x v="1"/>
    <x v="1"/>
    <s v="Clothing Item 44"/>
    <n v="14"/>
    <n v="84.18"/>
    <n v="0"/>
    <n v="1178.52"/>
    <n v="0"/>
    <n v="1178.52"/>
    <n v="641.08000000000004"/>
    <n v="537.44000000000005"/>
    <n v="45.6"/>
    <x v="2"/>
    <n v="4"/>
  </r>
  <r>
    <s v="ORD-10009"/>
    <x v="3"/>
    <s v="Jan 2024"/>
    <x v="0"/>
    <n v="2024"/>
    <x v="2"/>
    <x v="1"/>
    <x v="1"/>
    <x v="3"/>
    <s v="Home &amp; Garden Item 04"/>
    <n v="13"/>
    <n v="205.36"/>
    <n v="20"/>
    <n v="2669.68"/>
    <n v="533.94000000000005"/>
    <n v="2135.7399999999998"/>
    <n v="1349.63"/>
    <n v="786.11"/>
    <n v="36.799999999999997"/>
    <x v="2"/>
    <n v="4"/>
  </r>
  <r>
    <s v="ORD-10010"/>
    <x v="3"/>
    <s v="Jan 2024"/>
    <x v="0"/>
    <n v="2024"/>
    <x v="3"/>
    <x v="7"/>
    <x v="3"/>
    <x v="0"/>
    <s v="Beauty Item 36"/>
    <n v="1"/>
    <n v="21.42"/>
    <n v="5"/>
    <n v="21.42"/>
    <n v="1.07"/>
    <n v="20.350000000000001"/>
    <n v="11.68"/>
    <n v="8.67"/>
    <n v="42.6"/>
    <x v="2"/>
    <n v="2"/>
  </r>
  <r>
    <s v="ORD-10011"/>
    <x v="4"/>
    <s v="Jan 2024"/>
    <x v="0"/>
    <n v="2024"/>
    <x v="0"/>
    <x v="5"/>
    <x v="1"/>
    <x v="2"/>
    <s v="Food &amp; Beverage Item 04"/>
    <n v="20"/>
    <n v="21.84"/>
    <n v="10"/>
    <n v="436.8"/>
    <n v="43.68"/>
    <n v="393.12"/>
    <n v="155.72999999999999"/>
    <n v="237.39"/>
    <n v="60.4"/>
    <x v="2"/>
    <n v="3"/>
  </r>
  <r>
    <s v="ORD-10012"/>
    <x v="4"/>
    <s v="Jan 2024"/>
    <x v="0"/>
    <n v="2024"/>
    <x v="0"/>
    <x v="4"/>
    <x v="0"/>
    <x v="0"/>
    <s v="Beauty Item 19"/>
    <n v="7"/>
    <n v="54.62"/>
    <n v="5"/>
    <n v="382.34"/>
    <n v="19.12"/>
    <n v="363.22"/>
    <n v="177.17"/>
    <n v="186.05"/>
    <n v="51.2"/>
    <x v="1"/>
    <n v="3"/>
  </r>
  <r>
    <s v="ORD-10013"/>
    <x v="4"/>
    <s v="Jan 2024"/>
    <x v="0"/>
    <n v="2024"/>
    <x v="4"/>
    <x v="7"/>
    <x v="2"/>
    <x v="3"/>
    <s v="Home &amp; Garden Item 25"/>
    <n v="15"/>
    <n v="67.56"/>
    <n v="15"/>
    <n v="1013.4"/>
    <n v="152.01"/>
    <n v="861.39"/>
    <n v="387.21"/>
    <n v="474.18"/>
    <n v="55"/>
    <x v="2"/>
    <n v="2"/>
  </r>
  <r>
    <s v="ORD-10014"/>
    <x v="5"/>
    <s v="Jan 2024"/>
    <x v="0"/>
    <n v="2024"/>
    <x v="3"/>
    <x v="4"/>
    <x v="2"/>
    <x v="5"/>
    <s v="Sports Item 26"/>
    <n v="19"/>
    <n v="293.01"/>
    <n v="0"/>
    <n v="5567.19"/>
    <n v="0"/>
    <n v="5567.19"/>
    <n v="2094.69"/>
    <n v="3472.5"/>
    <n v="62.4"/>
    <x v="2"/>
    <n v="4"/>
  </r>
  <r>
    <s v="ORD-10015"/>
    <x v="5"/>
    <s v="Jan 2024"/>
    <x v="0"/>
    <n v="2024"/>
    <x v="1"/>
    <x v="6"/>
    <x v="2"/>
    <x v="4"/>
    <s v="Electronics Item 07"/>
    <n v="14"/>
    <n v="435.58"/>
    <n v="15"/>
    <n v="6098.12"/>
    <n v="914.72"/>
    <n v="5183.3999999999996"/>
    <n v="1898.58"/>
    <n v="3284.82"/>
    <n v="63.4"/>
    <x v="2"/>
    <n v="1"/>
  </r>
  <r>
    <s v="ORD-10016"/>
    <x v="6"/>
    <s v="Jan 2024"/>
    <x v="0"/>
    <n v="2024"/>
    <x v="1"/>
    <x v="7"/>
    <x v="2"/>
    <x v="5"/>
    <s v="Sports Item 40"/>
    <n v="13"/>
    <n v="79.77"/>
    <n v="0"/>
    <n v="1037.01"/>
    <n v="0"/>
    <n v="1037.01"/>
    <n v="610.04"/>
    <n v="426.97"/>
    <n v="41.2"/>
    <x v="1"/>
    <n v="4"/>
  </r>
  <r>
    <s v="ORD-10017"/>
    <x v="6"/>
    <s v="Jan 2024"/>
    <x v="0"/>
    <n v="2024"/>
    <x v="2"/>
    <x v="2"/>
    <x v="3"/>
    <x v="2"/>
    <s v="Food &amp; Beverage Item 49"/>
    <n v="1"/>
    <n v="7.87"/>
    <n v="0"/>
    <n v="7.87"/>
    <n v="0"/>
    <n v="7.87"/>
    <n v="4.07"/>
    <n v="3.8"/>
    <n v="48.3"/>
    <x v="2"/>
    <n v="2"/>
  </r>
  <r>
    <s v="ORD-10018"/>
    <x v="7"/>
    <s v="Jan 2024"/>
    <x v="0"/>
    <n v="2024"/>
    <x v="2"/>
    <x v="5"/>
    <x v="1"/>
    <x v="3"/>
    <s v="Home &amp; Garden Item 27"/>
    <n v="7"/>
    <n v="460.35"/>
    <n v="0"/>
    <n v="3222.45"/>
    <n v="0"/>
    <n v="3222.45"/>
    <n v="1683.69"/>
    <n v="1538.76"/>
    <n v="47.8"/>
    <x v="2"/>
    <n v="1"/>
  </r>
  <r>
    <s v="ORD-10019"/>
    <x v="7"/>
    <s v="Jan 2024"/>
    <x v="0"/>
    <n v="2024"/>
    <x v="4"/>
    <x v="7"/>
    <x v="1"/>
    <x v="2"/>
    <s v="Food &amp; Beverage Item 15"/>
    <n v="7"/>
    <n v="40.43"/>
    <n v="5"/>
    <n v="283.01"/>
    <n v="14.15"/>
    <n v="268.86"/>
    <n v="112.46"/>
    <n v="156.4"/>
    <n v="58.2"/>
    <x v="2"/>
    <n v="2"/>
  </r>
  <r>
    <s v="ORD-10020"/>
    <x v="8"/>
    <s v="Jan 2024"/>
    <x v="0"/>
    <n v="2024"/>
    <x v="0"/>
    <x v="5"/>
    <x v="0"/>
    <x v="5"/>
    <s v="Sports Item 39"/>
    <n v="9"/>
    <n v="336.67"/>
    <n v="10"/>
    <n v="3030.03"/>
    <n v="303"/>
    <n v="2727.03"/>
    <n v="1166.06"/>
    <n v="1560.97"/>
    <n v="57.2"/>
    <x v="1"/>
    <n v="1"/>
  </r>
  <r>
    <s v="ORD-10021"/>
    <x v="9"/>
    <s v="Jan 2024"/>
    <x v="0"/>
    <n v="2024"/>
    <x v="1"/>
    <x v="7"/>
    <x v="1"/>
    <x v="3"/>
    <s v="Home &amp; Garden Item 43"/>
    <n v="3"/>
    <n v="384.24"/>
    <n v="5"/>
    <n v="1152.72"/>
    <n v="57.64"/>
    <n v="1095.08"/>
    <n v="510.76"/>
    <n v="584.32000000000005"/>
    <n v="53.4"/>
    <x v="0"/>
    <n v="3"/>
  </r>
  <r>
    <s v="ORD-10022"/>
    <x v="9"/>
    <s v="Jan 2024"/>
    <x v="0"/>
    <n v="2024"/>
    <x v="1"/>
    <x v="8"/>
    <x v="3"/>
    <x v="0"/>
    <s v="Beauty Item 40"/>
    <n v="19"/>
    <n v="75.680000000000007"/>
    <n v="0"/>
    <n v="1437.92"/>
    <n v="0"/>
    <n v="1437.92"/>
    <n v="775.13"/>
    <n v="662.79"/>
    <n v="46.1"/>
    <x v="1"/>
    <n v="3"/>
  </r>
  <r>
    <s v="ORD-10023"/>
    <x v="10"/>
    <s v="Jan 2024"/>
    <x v="0"/>
    <n v="2024"/>
    <x v="1"/>
    <x v="1"/>
    <x v="0"/>
    <x v="0"/>
    <s v="Beauty Item 01"/>
    <n v="4"/>
    <n v="96.15"/>
    <n v="20"/>
    <n v="384.6"/>
    <n v="76.92"/>
    <n v="307.68"/>
    <n v="147.66"/>
    <n v="160.02000000000001"/>
    <n v="52"/>
    <x v="2"/>
    <n v="1"/>
  </r>
  <r>
    <s v="ORD-10024"/>
    <x v="10"/>
    <s v="Jan 2024"/>
    <x v="0"/>
    <n v="2024"/>
    <x v="1"/>
    <x v="4"/>
    <x v="0"/>
    <x v="5"/>
    <s v="Sports Item 30"/>
    <n v="18"/>
    <n v="364.7"/>
    <n v="5"/>
    <n v="6564.6"/>
    <n v="328.23"/>
    <n v="6236.37"/>
    <n v="2214.33"/>
    <n v="4022.04"/>
    <n v="64.5"/>
    <x v="1"/>
    <n v="5"/>
  </r>
  <r>
    <s v="ORD-10025"/>
    <x v="10"/>
    <s v="Jan 2024"/>
    <x v="0"/>
    <n v="2024"/>
    <x v="4"/>
    <x v="6"/>
    <x v="1"/>
    <x v="5"/>
    <s v="Sports Item 25"/>
    <n v="6"/>
    <n v="32.130000000000003"/>
    <n v="10"/>
    <n v="192.78"/>
    <n v="19.28"/>
    <n v="173.5"/>
    <n v="95.77"/>
    <n v="77.73"/>
    <n v="44.8"/>
    <x v="2"/>
    <n v="3"/>
  </r>
  <r>
    <s v="ORD-10026"/>
    <x v="11"/>
    <s v="Jan 2024"/>
    <x v="0"/>
    <n v="2024"/>
    <x v="3"/>
    <x v="5"/>
    <x v="3"/>
    <x v="4"/>
    <s v="Electronics Item 30"/>
    <n v="12"/>
    <n v="298"/>
    <n v="10"/>
    <n v="3576"/>
    <n v="357.6"/>
    <n v="3218.4"/>
    <n v="1642.83"/>
    <n v="1575.57"/>
    <n v="49"/>
    <x v="2"/>
    <n v="1"/>
  </r>
  <r>
    <s v="ORD-10027"/>
    <x v="11"/>
    <s v="Jan 2024"/>
    <x v="0"/>
    <n v="2024"/>
    <x v="1"/>
    <x v="6"/>
    <x v="2"/>
    <x v="0"/>
    <s v="Beauty Item 28"/>
    <n v="11"/>
    <n v="30.93"/>
    <n v="0"/>
    <n v="340.23"/>
    <n v="0"/>
    <n v="340.23"/>
    <n v="184.55"/>
    <n v="155.68"/>
    <n v="45.8"/>
    <x v="2"/>
    <n v="3"/>
  </r>
  <r>
    <s v="ORD-10028"/>
    <x v="11"/>
    <s v="Jan 2024"/>
    <x v="0"/>
    <n v="2024"/>
    <x v="0"/>
    <x v="1"/>
    <x v="3"/>
    <x v="4"/>
    <s v="Electronics Item 40"/>
    <n v="7"/>
    <n v="1131.26"/>
    <n v="0"/>
    <n v="7918.82"/>
    <n v="0"/>
    <n v="7918.82"/>
    <n v="4240.57"/>
    <n v="3678.25"/>
    <n v="46.4"/>
    <x v="2"/>
    <n v="1"/>
  </r>
  <r>
    <s v="ORD-10029"/>
    <x v="11"/>
    <s v="Jan 2024"/>
    <x v="0"/>
    <n v="2024"/>
    <x v="1"/>
    <x v="1"/>
    <x v="3"/>
    <x v="5"/>
    <s v="Sports Item 40"/>
    <n v="15"/>
    <n v="253.33"/>
    <n v="0"/>
    <n v="3799.95"/>
    <n v="0"/>
    <n v="3799.95"/>
    <n v="2191.77"/>
    <n v="1608.18"/>
    <n v="42.3"/>
    <x v="2"/>
    <n v="1"/>
  </r>
  <r>
    <s v="ORD-10030"/>
    <x v="12"/>
    <s v="Jan 2024"/>
    <x v="0"/>
    <n v="2024"/>
    <x v="2"/>
    <x v="1"/>
    <x v="3"/>
    <x v="2"/>
    <s v="Food &amp; Beverage Item 07"/>
    <n v="4"/>
    <n v="36.74"/>
    <n v="20"/>
    <n v="146.96"/>
    <n v="29.39"/>
    <n v="117.57"/>
    <n v="61.8"/>
    <n v="55.77"/>
    <n v="47.4"/>
    <x v="2"/>
    <n v="5"/>
  </r>
  <r>
    <s v="ORD-10031"/>
    <x v="12"/>
    <s v="Jan 2024"/>
    <x v="0"/>
    <n v="2024"/>
    <x v="0"/>
    <x v="4"/>
    <x v="0"/>
    <x v="3"/>
    <s v="Home &amp; Garden Item 22"/>
    <n v="9"/>
    <n v="392.56"/>
    <n v="0"/>
    <n v="3533.04"/>
    <n v="0"/>
    <n v="3533.04"/>
    <n v="1979.44"/>
    <n v="1553.6"/>
    <n v="44"/>
    <x v="1"/>
    <n v="2"/>
  </r>
  <r>
    <s v="ORD-10032"/>
    <x v="12"/>
    <s v="Jan 2024"/>
    <x v="0"/>
    <n v="2024"/>
    <x v="3"/>
    <x v="6"/>
    <x v="0"/>
    <x v="0"/>
    <s v="Beauty Item 42"/>
    <n v="16"/>
    <n v="43.27"/>
    <n v="15"/>
    <n v="692.32"/>
    <n v="103.85"/>
    <n v="588.47"/>
    <n v="218.78"/>
    <n v="369.69"/>
    <n v="62.8"/>
    <x v="2"/>
    <n v="2"/>
  </r>
  <r>
    <s v="ORD-10033"/>
    <x v="12"/>
    <s v="Jan 2024"/>
    <x v="0"/>
    <n v="2024"/>
    <x v="1"/>
    <x v="6"/>
    <x v="3"/>
    <x v="3"/>
    <s v="Home &amp; Garden Item 44"/>
    <n v="17"/>
    <n v="78.489999999999995"/>
    <n v="20"/>
    <n v="1334.33"/>
    <n v="266.87"/>
    <n v="1067.46"/>
    <n v="670.81"/>
    <n v="396.65"/>
    <n v="37.200000000000003"/>
    <x v="0"/>
    <n v="4"/>
  </r>
  <r>
    <s v="ORD-10034"/>
    <x v="13"/>
    <s v="Jan 2024"/>
    <x v="0"/>
    <n v="2024"/>
    <x v="4"/>
    <x v="2"/>
    <x v="2"/>
    <x v="4"/>
    <s v="Electronics Item 02"/>
    <n v="11"/>
    <n v="324.20999999999998"/>
    <n v="15"/>
    <n v="3566.31"/>
    <n v="534.95000000000005"/>
    <n v="3031.36"/>
    <n v="1157.5"/>
    <n v="1873.86"/>
    <n v="61.8"/>
    <x v="2"/>
    <n v="5"/>
  </r>
  <r>
    <s v="ORD-10035"/>
    <x v="13"/>
    <s v="Jan 2024"/>
    <x v="0"/>
    <n v="2024"/>
    <x v="4"/>
    <x v="1"/>
    <x v="0"/>
    <x v="4"/>
    <s v="Electronics Item 30"/>
    <n v="20"/>
    <n v="784.79"/>
    <n v="0"/>
    <n v="15695.8"/>
    <n v="0"/>
    <n v="15695.8"/>
    <n v="9198.7999999999993"/>
    <n v="6497"/>
    <n v="41.4"/>
    <x v="1"/>
    <n v="3"/>
  </r>
  <r>
    <s v="ORD-10036"/>
    <x v="13"/>
    <s v="Jan 2024"/>
    <x v="0"/>
    <n v="2024"/>
    <x v="1"/>
    <x v="2"/>
    <x v="3"/>
    <x v="1"/>
    <s v="Clothing Item 34"/>
    <n v="13"/>
    <n v="130.22"/>
    <n v="0"/>
    <n v="1692.86"/>
    <n v="0"/>
    <n v="1692.86"/>
    <n v="745.54"/>
    <n v="947.32"/>
    <n v="56"/>
    <x v="0"/>
    <n v="5"/>
  </r>
  <r>
    <s v="ORD-10037"/>
    <x v="14"/>
    <s v="Jan 2024"/>
    <x v="0"/>
    <n v="2024"/>
    <x v="2"/>
    <x v="0"/>
    <x v="2"/>
    <x v="2"/>
    <s v="Food &amp; Beverage Item 22"/>
    <n v="20"/>
    <n v="9.7100000000000009"/>
    <n v="0"/>
    <n v="194.2"/>
    <n v="0"/>
    <n v="194.2"/>
    <n v="73.010000000000005"/>
    <n v="121.19"/>
    <n v="62.4"/>
    <x v="2"/>
    <n v="2"/>
  </r>
  <r>
    <s v="ORD-10038"/>
    <x v="14"/>
    <s v="Jan 2024"/>
    <x v="0"/>
    <n v="2024"/>
    <x v="4"/>
    <x v="9"/>
    <x v="1"/>
    <x v="0"/>
    <s v="Beauty Item 38"/>
    <n v="13"/>
    <n v="127.14"/>
    <n v="5"/>
    <n v="1652.82"/>
    <n v="82.64"/>
    <n v="1570.18"/>
    <n v="910.05"/>
    <n v="660.13"/>
    <n v="42"/>
    <x v="2"/>
    <n v="4"/>
  </r>
  <r>
    <s v="ORD-10039"/>
    <x v="15"/>
    <s v="Jan 2024"/>
    <x v="0"/>
    <n v="2024"/>
    <x v="0"/>
    <x v="0"/>
    <x v="1"/>
    <x v="0"/>
    <s v="Beauty Item 13"/>
    <n v="19"/>
    <n v="79.98"/>
    <n v="0"/>
    <n v="1519.62"/>
    <n v="0"/>
    <n v="1519.62"/>
    <n v="731.4"/>
    <n v="788.22"/>
    <n v="51.9"/>
    <x v="2"/>
    <n v="2"/>
  </r>
  <r>
    <s v="ORD-10040"/>
    <x v="15"/>
    <s v="Jan 2024"/>
    <x v="0"/>
    <n v="2024"/>
    <x v="2"/>
    <x v="9"/>
    <x v="3"/>
    <x v="4"/>
    <s v="Electronics Item 07"/>
    <n v="4"/>
    <n v="666.46"/>
    <n v="0"/>
    <n v="2665.84"/>
    <n v="0"/>
    <n v="2665.84"/>
    <n v="1249.04"/>
    <n v="1416.8"/>
    <n v="53.1"/>
    <x v="2"/>
    <n v="3"/>
  </r>
  <r>
    <s v="ORD-10041"/>
    <x v="15"/>
    <s v="Jan 2024"/>
    <x v="0"/>
    <n v="2024"/>
    <x v="3"/>
    <x v="1"/>
    <x v="3"/>
    <x v="2"/>
    <s v="Food &amp; Beverage Item 07"/>
    <n v="12"/>
    <n v="52.4"/>
    <n v="20"/>
    <n v="628.79999999999995"/>
    <n v="125.76"/>
    <n v="503.04"/>
    <n v="275.77999999999997"/>
    <n v="227.26"/>
    <n v="45.2"/>
    <x v="2"/>
    <n v="5"/>
  </r>
  <r>
    <s v="ORD-10042"/>
    <x v="15"/>
    <s v="Jan 2024"/>
    <x v="0"/>
    <n v="2024"/>
    <x v="3"/>
    <x v="6"/>
    <x v="0"/>
    <x v="3"/>
    <s v="Home &amp; Garden Item 01"/>
    <n v="12"/>
    <n v="296.02"/>
    <n v="10"/>
    <n v="3552.24"/>
    <n v="355.22"/>
    <n v="3197.02"/>
    <n v="1573.56"/>
    <n v="1623.46"/>
    <n v="50.8"/>
    <x v="2"/>
    <n v="3"/>
  </r>
  <r>
    <s v="ORD-10043"/>
    <x v="16"/>
    <s v="Jan 2024"/>
    <x v="0"/>
    <n v="2024"/>
    <x v="4"/>
    <x v="3"/>
    <x v="2"/>
    <x v="0"/>
    <s v="Beauty Item 39"/>
    <n v="15"/>
    <n v="110.6"/>
    <n v="20"/>
    <n v="1659"/>
    <n v="331.8"/>
    <n v="1327.2"/>
    <n v="676.93"/>
    <n v="650.27"/>
    <n v="49"/>
    <x v="2"/>
    <n v="3"/>
  </r>
  <r>
    <s v="ORD-10044"/>
    <x v="17"/>
    <s v="Jan 2024"/>
    <x v="0"/>
    <n v="2024"/>
    <x v="2"/>
    <x v="5"/>
    <x v="3"/>
    <x v="4"/>
    <s v="Electronics Item 46"/>
    <n v="20"/>
    <n v="384.96"/>
    <n v="0"/>
    <n v="7699.2"/>
    <n v="0"/>
    <n v="7699.2"/>
    <n v="3009.73"/>
    <n v="4689.47"/>
    <n v="60.9"/>
    <x v="1"/>
    <n v="1"/>
  </r>
  <r>
    <s v="ORD-10045"/>
    <x v="17"/>
    <s v="Jan 2024"/>
    <x v="0"/>
    <n v="2024"/>
    <x v="4"/>
    <x v="9"/>
    <x v="1"/>
    <x v="1"/>
    <s v="Clothing Item 05"/>
    <n v="6"/>
    <n v="15.29"/>
    <n v="20"/>
    <n v="91.74"/>
    <n v="18.350000000000001"/>
    <n v="73.39"/>
    <n v="34.29"/>
    <n v="39.1"/>
    <n v="53.3"/>
    <x v="1"/>
    <n v="3"/>
  </r>
  <r>
    <s v="ORD-10046"/>
    <x v="18"/>
    <s v="Jan 2024"/>
    <x v="0"/>
    <n v="2024"/>
    <x v="3"/>
    <x v="2"/>
    <x v="3"/>
    <x v="5"/>
    <s v="Sports Item 38"/>
    <n v="10"/>
    <n v="157.31"/>
    <n v="0"/>
    <n v="1573.1"/>
    <n v="0"/>
    <n v="1573.1"/>
    <n v="926.94"/>
    <n v="646.16"/>
    <n v="41.1"/>
    <x v="0"/>
    <n v="4"/>
  </r>
  <r>
    <s v="ORD-10047"/>
    <x v="18"/>
    <s v="Jan 2024"/>
    <x v="0"/>
    <n v="2024"/>
    <x v="4"/>
    <x v="7"/>
    <x v="0"/>
    <x v="0"/>
    <s v="Beauty Item 13"/>
    <n v="20"/>
    <n v="89.89"/>
    <n v="15"/>
    <n v="1797.8"/>
    <n v="269.67"/>
    <n v="1528.13"/>
    <n v="785.03"/>
    <n v="743.1"/>
    <n v="48.6"/>
    <x v="2"/>
    <n v="3"/>
  </r>
  <r>
    <s v="ORD-10048"/>
    <x v="18"/>
    <s v="Jan 2024"/>
    <x v="0"/>
    <n v="2024"/>
    <x v="2"/>
    <x v="6"/>
    <x v="0"/>
    <x v="2"/>
    <s v="Food &amp; Beverage Item 37"/>
    <n v="19"/>
    <n v="19.05"/>
    <n v="0"/>
    <n v="361.95"/>
    <n v="0"/>
    <n v="361.95"/>
    <n v="230.94"/>
    <n v="131.01"/>
    <n v="36.200000000000003"/>
    <x v="2"/>
    <n v="3"/>
  </r>
  <r>
    <s v="ORD-10049"/>
    <x v="19"/>
    <s v="Jan 2024"/>
    <x v="0"/>
    <n v="2024"/>
    <x v="1"/>
    <x v="5"/>
    <x v="2"/>
    <x v="5"/>
    <s v="Sports Item 09"/>
    <n v="3"/>
    <n v="275.58"/>
    <n v="15"/>
    <n v="826.74"/>
    <n v="124.01"/>
    <n v="702.73"/>
    <n v="276.33"/>
    <n v="426.4"/>
    <n v="60.7"/>
    <x v="2"/>
    <n v="1"/>
  </r>
  <r>
    <s v="ORD-10050"/>
    <x v="19"/>
    <s v="Jan 2024"/>
    <x v="0"/>
    <n v="2024"/>
    <x v="3"/>
    <x v="9"/>
    <x v="1"/>
    <x v="3"/>
    <s v="Home &amp; Garden Item 41"/>
    <n v="5"/>
    <n v="271.27"/>
    <n v="0"/>
    <n v="1356.35"/>
    <n v="0"/>
    <n v="1356.35"/>
    <n v="750.31"/>
    <n v="606.04"/>
    <n v="44.7"/>
    <x v="2"/>
    <n v="1"/>
  </r>
  <r>
    <s v="ORD-10051"/>
    <x v="20"/>
    <s v="Jan 2024"/>
    <x v="0"/>
    <n v="2024"/>
    <x v="1"/>
    <x v="1"/>
    <x v="2"/>
    <x v="1"/>
    <s v="Clothing Item 33"/>
    <n v="11"/>
    <n v="81.709999999999994"/>
    <n v="0"/>
    <n v="898.81"/>
    <n v="0"/>
    <n v="898.81"/>
    <n v="561.08000000000004"/>
    <n v="337.73"/>
    <n v="37.6"/>
    <x v="2"/>
    <n v="2"/>
  </r>
  <r>
    <s v="ORD-10052"/>
    <x v="20"/>
    <s v="Jan 2024"/>
    <x v="0"/>
    <n v="2024"/>
    <x v="2"/>
    <x v="1"/>
    <x v="1"/>
    <x v="0"/>
    <s v="Beauty Item 17"/>
    <n v="4"/>
    <n v="143.47999999999999"/>
    <n v="15"/>
    <n v="573.91999999999996"/>
    <n v="86.09"/>
    <n v="487.83"/>
    <n v="287.08999999999997"/>
    <n v="200.74"/>
    <n v="41.1"/>
    <x v="1"/>
    <n v="2"/>
  </r>
  <r>
    <s v="ORD-10053"/>
    <x v="20"/>
    <s v="Jan 2024"/>
    <x v="0"/>
    <n v="2024"/>
    <x v="3"/>
    <x v="8"/>
    <x v="1"/>
    <x v="5"/>
    <s v="Sports Item 23"/>
    <n v="8"/>
    <n v="229.03"/>
    <n v="5"/>
    <n v="1832.24"/>
    <n v="91.61"/>
    <n v="1740.63"/>
    <n v="990.07"/>
    <n v="750.56"/>
    <n v="43.1"/>
    <x v="2"/>
    <n v="3"/>
  </r>
  <r>
    <s v="ORD-10054"/>
    <x v="21"/>
    <s v="Jan 2024"/>
    <x v="0"/>
    <n v="2024"/>
    <x v="4"/>
    <x v="5"/>
    <x v="3"/>
    <x v="2"/>
    <s v="Food &amp; Beverage Item 27"/>
    <n v="10"/>
    <n v="63.98"/>
    <n v="10"/>
    <n v="639.79999999999995"/>
    <n v="63.98"/>
    <n v="575.82000000000005"/>
    <n v="265.99"/>
    <n v="309.83"/>
    <n v="53.8"/>
    <x v="2"/>
    <n v="2"/>
  </r>
  <r>
    <s v="ORD-10055"/>
    <x v="21"/>
    <s v="Jan 2024"/>
    <x v="0"/>
    <n v="2024"/>
    <x v="4"/>
    <x v="0"/>
    <x v="1"/>
    <x v="5"/>
    <s v="Sports Item 31"/>
    <n v="4"/>
    <n v="215.36"/>
    <n v="0"/>
    <n v="861.44"/>
    <n v="0"/>
    <n v="861.44"/>
    <n v="546.88"/>
    <n v="314.56"/>
    <n v="36.5"/>
    <x v="2"/>
    <n v="4"/>
  </r>
  <r>
    <s v="ORD-10056"/>
    <x v="21"/>
    <s v="Jan 2024"/>
    <x v="0"/>
    <n v="2024"/>
    <x v="4"/>
    <x v="5"/>
    <x v="1"/>
    <x v="4"/>
    <s v="Electronics Item 47"/>
    <n v="6"/>
    <n v="73.38"/>
    <n v="20"/>
    <n v="440.28"/>
    <n v="88.06"/>
    <n v="352.22"/>
    <n v="181.77"/>
    <n v="170.45"/>
    <n v="48.4"/>
    <x v="2"/>
    <n v="4"/>
  </r>
  <r>
    <s v="ORD-10057"/>
    <x v="22"/>
    <s v="Jan 2024"/>
    <x v="0"/>
    <n v="2024"/>
    <x v="3"/>
    <x v="9"/>
    <x v="0"/>
    <x v="5"/>
    <s v="Sports Item 40"/>
    <n v="12"/>
    <n v="352.5"/>
    <n v="20"/>
    <n v="4230"/>
    <n v="846"/>
    <n v="3384"/>
    <n v="1747.91"/>
    <n v="1636.09"/>
    <n v="48.3"/>
    <x v="2"/>
    <n v="4"/>
  </r>
  <r>
    <s v="ORD-10058"/>
    <x v="23"/>
    <s v="Jan 2024"/>
    <x v="0"/>
    <n v="2024"/>
    <x v="3"/>
    <x v="3"/>
    <x v="2"/>
    <x v="3"/>
    <s v="Home &amp; Garden Item 29"/>
    <n v="5"/>
    <n v="40.9"/>
    <n v="20"/>
    <n v="204.5"/>
    <n v="40.9"/>
    <n v="163.6"/>
    <n v="63.31"/>
    <n v="100.29"/>
    <n v="61.3"/>
    <x v="0"/>
    <n v="1"/>
  </r>
  <r>
    <s v="ORD-10059"/>
    <x v="23"/>
    <s v="Jan 2024"/>
    <x v="0"/>
    <n v="2024"/>
    <x v="4"/>
    <x v="5"/>
    <x v="2"/>
    <x v="5"/>
    <s v="Sports Item 12"/>
    <n v="17"/>
    <n v="170.08"/>
    <n v="15"/>
    <n v="2891.36"/>
    <n v="433.7"/>
    <n v="2457.66"/>
    <n v="863.89"/>
    <n v="1593.77"/>
    <n v="64.8"/>
    <x v="2"/>
    <n v="1"/>
  </r>
  <r>
    <s v="ORD-10060"/>
    <x v="23"/>
    <s v="Jan 2024"/>
    <x v="0"/>
    <n v="2024"/>
    <x v="4"/>
    <x v="4"/>
    <x v="0"/>
    <x v="3"/>
    <s v="Home &amp; Garden Item 16"/>
    <n v="13"/>
    <n v="199.19"/>
    <n v="0"/>
    <n v="2589.4699999999998"/>
    <n v="0"/>
    <n v="2589.4699999999998"/>
    <n v="1369.82"/>
    <n v="1219.6500000000001"/>
    <n v="47.1"/>
    <x v="1"/>
    <n v="5"/>
  </r>
  <r>
    <s v="ORD-10061"/>
    <x v="23"/>
    <s v="Jan 2024"/>
    <x v="0"/>
    <n v="2024"/>
    <x v="1"/>
    <x v="2"/>
    <x v="3"/>
    <x v="3"/>
    <s v="Home &amp; Garden Item 09"/>
    <n v="14"/>
    <n v="378.71"/>
    <n v="5"/>
    <n v="5301.94"/>
    <n v="265.10000000000002"/>
    <n v="5036.84"/>
    <n v="2574.56"/>
    <n v="2462.2800000000002"/>
    <n v="48.9"/>
    <x v="1"/>
    <n v="4"/>
  </r>
  <r>
    <s v="ORD-10062"/>
    <x v="24"/>
    <s v="Jan 2024"/>
    <x v="0"/>
    <n v="2024"/>
    <x v="3"/>
    <x v="6"/>
    <x v="2"/>
    <x v="2"/>
    <s v="Food &amp; Beverage Item 03"/>
    <n v="20"/>
    <n v="31.78"/>
    <n v="0"/>
    <n v="635.6"/>
    <n v="0"/>
    <n v="635.6"/>
    <n v="403.03"/>
    <n v="232.57"/>
    <n v="36.6"/>
    <x v="2"/>
    <n v="3"/>
  </r>
  <r>
    <s v="ORD-10063"/>
    <x v="24"/>
    <s v="Jan 2024"/>
    <x v="0"/>
    <n v="2024"/>
    <x v="4"/>
    <x v="7"/>
    <x v="0"/>
    <x v="4"/>
    <s v="Electronics Item 04"/>
    <n v="5"/>
    <n v="127.69"/>
    <n v="15"/>
    <n v="638.45000000000005"/>
    <n v="95.77"/>
    <n v="542.67999999999995"/>
    <n v="239.54"/>
    <n v="303.14"/>
    <n v="55.9"/>
    <x v="2"/>
    <n v="2"/>
  </r>
  <r>
    <s v="ORD-10064"/>
    <x v="24"/>
    <s v="Jan 2024"/>
    <x v="0"/>
    <n v="2024"/>
    <x v="2"/>
    <x v="5"/>
    <x v="3"/>
    <x v="1"/>
    <s v="Clothing Item 09"/>
    <n v="19"/>
    <n v="59.61"/>
    <n v="0"/>
    <n v="1132.5899999999999"/>
    <n v="0"/>
    <n v="1132.5899999999999"/>
    <n v="650.66"/>
    <n v="481.93"/>
    <n v="42.6"/>
    <x v="2"/>
    <n v="1"/>
  </r>
  <r>
    <s v="ORD-10065"/>
    <x v="25"/>
    <s v="Jan 2024"/>
    <x v="0"/>
    <n v="2024"/>
    <x v="4"/>
    <x v="1"/>
    <x v="0"/>
    <x v="3"/>
    <s v="Home &amp; Garden Item 20"/>
    <n v="13"/>
    <n v="335.41"/>
    <n v="10"/>
    <n v="4360.33"/>
    <n v="436.03"/>
    <n v="3924.3"/>
    <n v="2437.2399999999998"/>
    <n v="1487.06"/>
    <n v="37.9"/>
    <x v="2"/>
    <n v="3"/>
  </r>
  <r>
    <s v="ORD-10066"/>
    <x v="25"/>
    <s v="Jan 2024"/>
    <x v="0"/>
    <n v="2024"/>
    <x v="3"/>
    <x v="6"/>
    <x v="2"/>
    <x v="5"/>
    <s v="Sports Item 38"/>
    <n v="14"/>
    <n v="63.87"/>
    <n v="20"/>
    <n v="894.18"/>
    <n v="178.84"/>
    <n v="715.34"/>
    <n v="324.16000000000003"/>
    <n v="391.18"/>
    <n v="54.7"/>
    <x v="2"/>
    <n v="2"/>
  </r>
  <r>
    <s v="ORD-10067"/>
    <x v="25"/>
    <s v="Jan 2024"/>
    <x v="0"/>
    <n v="2024"/>
    <x v="4"/>
    <x v="0"/>
    <x v="2"/>
    <x v="2"/>
    <s v="Food &amp; Beverage Item 28"/>
    <n v="6"/>
    <n v="48.64"/>
    <n v="0"/>
    <n v="291.83999999999997"/>
    <n v="0"/>
    <n v="291.83999999999997"/>
    <n v="138.27000000000001"/>
    <n v="153.57"/>
    <n v="52.6"/>
    <x v="0"/>
    <n v="2"/>
  </r>
  <r>
    <s v="ORD-10068"/>
    <x v="26"/>
    <s v="Jan 2024"/>
    <x v="0"/>
    <n v="2024"/>
    <x v="1"/>
    <x v="5"/>
    <x v="1"/>
    <x v="5"/>
    <s v="Sports Item 33"/>
    <n v="16"/>
    <n v="308.75"/>
    <n v="0"/>
    <n v="4940"/>
    <n v="0"/>
    <n v="4940"/>
    <n v="2686.27"/>
    <n v="2253.73"/>
    <n v="45.6"/>
    <x v="2"/>
    <n v="4"/>
  </r>
  <r>
    <s v="ORD-10069"/>
    <x v="27"/>
    <s v="Jan 2024"/>
    <x v="0"/>
    <n v="2024"/>
    <x v="0"/>
    <x v="7"/>
    <x v="0"/>
    <x v="3"/>
    <s v="Home &amp; Garden Item 42"/>
    <n v="18"/>
    <n v="84.04"/>
    <n v="0"/>
    <n v="1512.72"/>
    <n v="0"/>
    <n v="1512.72"/>
    <n v="762.06"/>
    <n v="750.66"/>
    <n v="49.6"/>
    <x v="2"/>
    <n v="3"/>
  </r>
  <r>
    <s v="ORD-10070"/>
    <x v="27"/>
    <s v="Jan 2024"/>
    <x v="0"/>
    <n v="2024"/>
    <x v="3"/>
    <x v="4"/>
    <x v="1"/>
    <x v="2"/>
    <s v="Food &amp; Beverage Item 49"/>
    <n v="6"/>
    <n v="31.42"/>
    <n v="10"/>
    <n v="188.52"/>
    <n v="18.850000000000001"/>
    <n v="169.67"/>
    <n v="67.58"/>
    <n v="102.09"/>
    <n v="60.2"/>
    <x v="2"/>
    <n v="3"/>
  </r>
  <r>
    <s v="ORD-10071"/>
    <x v="27"/>
    <s v="Jan 2024"/>
    <x v="0"/>
    <n v="2024"/>
    <x v="3"/>
    <x v="1"/>
    <x v="0"/>
    <x v="5"/>
    <s v="Sports Item 23"/>
    <n v="18"/>
    <n v="151.96"/>
    <n v="20"/>
    <n v="2735.28"/>
    <n v="547.05999999999995"/>
    <n v="2188.2199999999998"/>
    <n v="910.82"/>
    <n v="1277.4000000000001"/>
    <n v="58.4"/>
    <x v="0"/>
    <n v="4"/>
  </r>
  <r>
    <s v="ORD-10072"/>
    <x v="27"/>
    <s v="Jan 2024"/>
    <x v="0"/>
    <n v="2024"/>
    <x v="0"/>
    <x v="7"/>
    <x v="2"/>
    <x v="0"/>
    <s v="Beauty Item 20"/>
    <n v="6"/>
    <n v="99.99"/>
    <n v="0"/>
    <n v="599.94000000000005"/>
    <n v="0"/>
    <n v="599.94000000000005"/>
    <n v="360.22"/>
    <n v="239.72"/>
    <n v="40"/>
    <x v="2"/>
    <n v="4"/>
  </r>
  <r>
    <s v="ORD-10073"/>
    <x v="28"/>
    <s v="Jan 2024"/>
    <x v="0"/>
    <n v="2024"/>
    <x v="4"/>
    <x v="7"/>
    <x v="0"/>
    <x v="4"/>
    <s v="Electronics Item 38"/>
    <n v="16"/>
    <n v="1004.94"/>
    <n v="15"/>
    <n v="16079.04"/>
    <n v="2411.86"/>
    <n v="13667.18"/>
    <n v="5580.28"/>
    <n v="8086.9"/>
    <n v="59.2"/>
    <x v="1"/>
    <n v="4"/>
  </r>
  <r>
    <s v="ORD-10074"/>
    <x v="28"/>
    <s v="Jan 2024"/>
    <x v="0"/>
    <n v="2024"/>
    <x v="1"/>
    <x v="5"/>
    <x v="0"/>
    <x v="5"/>
    <s v="Sports Item 35"/>
    <n v="10"/>
    <n v="281.76"/>
    <n v="15"/>
    <n v="2817.6"/>
    <n v="422.64"/>
    <n v="2394.96"/>
    <n v="968.54"/>
    <n v="1426.42"/>
    <n v="59.6"/>
    <x v="0"/>
    <n v="4"/>
  </r>
  <r>
    <s v="ORD-10075"/>
    <x v="28"/>
    <s v="Jan 2024"/>
    <x v="0"/>
    <n v="2024"/>
    <x v="4"/>
    <x v="1"/>
    <x v="3"/>
    <x v="4"/>
    <s v="Electronics Item 50"/>
    <n v="5"/>
    <n v="1177.94"/>
    <n v="15"/>
    <n v="5889.7"/>
    <n v="883.45"/>
    <n v="5006.25"/>
    <n v="2953.18"/>
    <n v="2053.0700000000002"/>
    <n v="41"/>
    <x v="0"/>
    <n v="5"/>
  </r>
  <r>
    <s v="ORD-10076"/>
    <x v="29"/>
    <s v="Feb 2024"/>
    <x v="0"/>
    <n v="2024"/>
    <x v="0"/>
    <x v="6"/>
    <x v="3"/>
    <x v="3"/>
    <s v="Home &amp; Garden Item 10"/>
    <n v="6"/>
    <n v="249.69"/>
    <n v="0"/>
    <n v="1498.14"/>
    <n v="0"/>
    <n v="1498.14"/>
    <n v="907.39"/>
    <n v="590.75"/>
    <n v="39.4"/>
    <x v="2"/>
    <n v="3"/>
  </r>
  <r>
    <s v="ORD-10077"/>
    <x v="29"/>
    <s v="Feb 2024"/>
    <x v="0"/>
    <n v="2024"/>
    <x v="1"/>
    <x v="8"/>
    <x v="3"/>
    <x v="3"/>
    <s v="Home &amp; Garden Item 10"/>
    <n v="11"/>
    <n v="107.49"/>
    <n v="5"/>
    <n v="1182.3900000000001"/>
    <n v="59.12"/>
    <n v="1123.27"/>
    <n v="680.05"/>
    <n v="443.22"/>
    <n v="39.5"/>
    <x v="1"/>
    <n v="2"/>
  </r>
  <r>
    <s v="ORD-10078"/>
    <x v="29"/>
    <s v="Feb 2024"/>
    <x v="0"/>
    <n v="2024"/>
    <x v="2"/>
    <x v="0"/>
    <x v="1"/>
    <x v="3"/>
    <s v="Home &amp; Garden Item 31"/>
    <n v="15"/>
    <n v="84.73"/>
    <n v="5"/>
    <n v="1270.95"/>
    <n v="63.55"/>
    <n v="1207.4000000000001"/>
    <n v="760.31"/>
    <n v="447.09"/>
    <n v="37"/>
    <x v="1"/>
    <n v="2"/>
  </r>
  <r>
    <s v="ORD-10079"/>
    <x v="30"/>
    <s v="Feb 2024"/>
    <x v="0"/>
    <n v="2024"/>
    <x v="2"/>
    <x v="4"/>
    <x v="0"/>
    <x v="4"/>
    <s v="Electronics Item 20"/>
    <n v="20"/>
    <n v="873.45"/>
    <n v="20"/>
    <n v="17469"/>
    <n v="3493.8"/>
    <n v="13975.2"/>
    <n v="9060.0400000000009"/>
    <n v="4915.16"/>
    <n v="35.200000000000003"/>
    <x v="2"/>
    <n v="4"/>
  </r>
  <r>
    <s v="ORD-10080"/>
    <x v="30"/>
    <s v="Feb 2024"/>
    <x v="0"/>
    <n v="2024"/>
    <x v="1"/>
    <x v="5"/>
    <x v="2"/>
    <x v="5"/>
    <s v="Sports Item 39"/>
    <n v="2"/>
    <n v="378.85"/>
    <n v="0"/>
    <n v="757.7"/>
    <n v="0"/>
    <n v="757.7"/>
    <n v="370.05"/>
    <n v="387.65"/>
    <n v="51.2"/>
    <x v="0"/>
    <n v="4"/>
  </r>
  <r>
    <s v="ORD-10081"/>
    <x v="30"/>
    <s v="Feb 2024"/>
    <x v="0"/>
    <n v="2024"/>
    <x v="2"/>
    <x v="2"/>
    <x v="0"/>
    <x v="0"/>
    <s v="Beauty Item 22"/>
    <n v="12"/>
    <n v="15.18"/>
    <n v="5"/>
    <n v="182.16"/>
    <n v="9.11"/>
    <n v="173.05"/>
    <n v="89.1"/>
    <n v="83.95"/>
    <n v="48.5"/>
    <x v="1"/>
    <n v="5"/>
  </r>
  <r>
    <s v="ORD-10082"/>
    <x v="31"/>
    <s v="Feb 2024"/>
    <x v="0"/>
    <n v="2024"/>
    <x v="1"/>
    <x v="5"/>
    <x v="0"/>
    <x v="4"/>
    <s v="Electronics Item 19"/>
    <n v="1"/>
    <n v="281.83"/>
    <n v="0"/>
    <n v="281.83"/>
    <n v="0"/>
    <n v="281.83"/>
    <n v="123.21"/>
    <n v="158.62"/>
    <n v="56.3"/>
    <x v="2"/>
    <n v="4"/>
  </r>
  <r>
    <s v="ORD-10083"/>
    <x v="31"/>
    <s v="Feb 2024"/>
    <x v="0"/>
    <n v="2024"/>
    <x v="4"/>
    <x v="8"/>
    <x v="3"/>
    <x v="2"/>
    <s v="Food &amp; Beverage Item 24"/>
    <n v="16"/>
    <n v="64.33"/>
    <n v="0"/>
    <n v="1029.28"/>
    <n v="0"/>
    <n v="1029.28"/>
    <n v="381.05"/>
    <n v="648.23"/>
    <n v="63"/>
    <x v="2"/>
    <n v="5"/>
  </r>
  <r>
    <s v="ORD-10084"/>
    <x v="32"/>
    <s v="Feb 2024"/>
    <x v="0"/>
    <n v="2024"/>
    <x v="4"/>
    <x v="3"/>
    <x v="1"/>
    <x v="0"/>
    <s v="Beauty Item 01"/>
    <n v="5"/>
    <n v="134.01"/>
    <n v="5"/>
    <n v="670.05"/>
    <n v="33.5"/>
    <n v="636.54999999999995"/>
    <n v="241.55"/>
    <n v="395"/>
    <n v="62.1"/>
    <x v="2"/>
    <n v="5"/>
  </r>
  <r>
    <s v="ORD-10085"/>
    <x v="32"/>
    <s v="Feb 2024"/>
    <x v="0"/>
    <n v="2024"/>
    <x v="0"/>
    <x v="4"/>
    <x v="2"/>
    <x v="5"/>
    <s v="Sports Item 34"/>
    <n v="7"/>
    <n v="143.35"/>
    <n v="0"/>
    <n v="1003.45"/>
    <n v="0"/>
    <n v="1003.45"/>
    <n v="569.64"/>
    <n v="433.81"/>
    <n v="43.2"/>
    <x v="2"/>
    <n v="4"/>
  </r>
  <r>
    <s v="ORD-10086"/>
    <x v="33"/>
    <s v="Feb 2024"/>
    <x v="0"/>
    <n v="2024"/>
    <x v="4"/>
    <x v="0"/>
    <x v="2"/>
    <x v="5"/>
    <s v="Sports Item 38"/>
    <n v="13"/>
    <n v="141.28"/>
    <n v="15"/>
    <n v="1836.64"/>
    <n v="275.5"/>
    <n v="1561.14"/>
    <n v="774.57"/>
    <n v="786.57"/>
    <n v="50.4"/>
    <x v="2"/>
    <n v="5"/>
  </r>
  <r>
    <s v="ORD-10087"/>
    <x v="33"/>
    <s v="Feb 2024"/>
    <x v="0"/>
    <n v="2024"/>
    <x v="4"/>
    <x v="2"/>
    <x v="3"/>
    <x v="4"/>
    <s v="Electronics Item 43"/>
    <n v="18"/>
    <n v="507.96"/>
    <n v="10"/>
    <n v="9143.2800000000007"/>
    <n v="914.33"/>
    <n v="8228.9500000000007"/>
    <n v="3696.9"/>
    <n v="4532.05"/>
    <n v="55.1"/>
    <x v="2"/>
    <n v="5"/>
  </r>
  <r>
    <s v="ORD-10088"/>
    <x v="33"/>
    <s v="Feb 2024"/>
    <x v="0"/>
    <n v="2024"/>
    <x v="0"/>
    <x v="5"/>
    <x v="2"/>
    <x v="1"/>
    <s v="Clothing Item 44"/>
    <n v="17"/>
    <n v="165.85"/>
    <n v="20"/>
    <n v="2819.45"/>
    <n v="563.89"/>
    <n v="2255.56"/>
    <n v="876.21"/>
    <n v="1379.35"/>
    <n v="61.2"/>
    <x v="1"/>
    <n v="2"/>
  </r>
  <r>
    <s v="ORD-10089"/>
    <x v="33"/>
    <s v="Feb 2024"/>
    <x v="0"/>
    <n v="2024"/>
    <x v="3"/>
    <x v="6"/>
    <x v="0"/>
    <x v="0"/>
    <s v="Beauty Item 10"/>
    <n v="16"/>
    <n v="76.28"/>
    <n v="10"/>
    <n v="1220.48"/>
    <n v="122.05"/>
    <n v="1098.43"/>
    <n v="600.45000000000005"/>
    <n v="497.98"/>
    <n v="45.3"/>
    <x v="1"/>
    <n v="4"/>
  </r>
  <r>
    <s v="ORD-10090"/>
    <x v="33"/>
    <s v="Feb 2024"/>
    <x v="0"/>
    <n v="2024"/>
    <x v="3"/>
    <x v="7"/>
    <x v="0"/>
    <x v="3"/>
    <s v="Home &amp; Garden Item 04"/>
    <n v="14"/>
    <n v="37.58"/>
    <n v="5"/>
    <n v="526.12"/>
    <n v="26.31"/>
    <n v="499.81"/>
    <n v="189.93"/>
    <n v="309.88"/>
    <n v="62"/>
    <x v="0"/>
    <n v="1"/>
  </r>
  <r>
    <s v="ORD-10091"/>
    <x v="33"/>
    <s v="Feb 2024"/>
    <x v="0"/>
    <n v="2024"/>
    <x v="1"/>
    <x v="6"/>
    <x v="3"/>
    <x v="0"/>
    <s v="Beauty Item 16"/>
    <n v="16"/>
    <n v="100.57"/>
    <n v="10"/>
    <n v="1609.12"/>
    <n v="160.91"/>
    <n v="1448.21"/>
    <n v="776.03"/>
    <n v="672.18"/>
    <n v="46.4"/>
    <x v="2"/>
    <n v="5"/>
  </r>
  <r>
    <s v="ORD-10092"/>
    <x v="33"/>
    <s v="Feb 2024"/>
    <x v="0"/>
    <n v="2024"/>
    <x v="3"/>
    <x v="5"/>
    <x v="1"/>
    <x v="5"/>
    <s v="Sports Item 33"/>
    <n v="14"/>
    <n v="132.29"/>
    <n v="0"/>
    <n v="1852.06"/>
    <n v="0"/>
    <n v="1852.06"/>
    <n v="1148.3399999999999"/>
    <n v="703.72"/>
    <n v="38"/>
    <x v="2"/>
    <n v="4"/>
  </r>
  <r>
    <s v="ORD-10093"/>
    <x v="33"/>
    <s v="Feb 2024"/>
    <x v="0"/>
    <n v="2024"/>
    <x v="3"/>
    <x v="4"/>
    <x v="0"/>
    <x v="2"/>
    <s v="Food &amp; Beverage Item 36"/>
    <n v="15"/>
    <n v="69.66"/>
    <n v="0"/>
    <n v="1044.9000000000001"/>
    <n v="0"/>
    <n v="1044.9000000000001"/>
    <n v="465.33"/>
    <n v="579.57000000000005"/>
    <n v="55.5"/>
    <x v="2"/>
    <n v="5"/>
  </r>
  <r>
    <s v="ORD-10094"/>
    <x v="34"/>
    <s v="Feb 2024"/>
    <x v="0"/>
    <n v="2024"/>
    <x v="3"/>
    <x v="6"/>
    <x v="1"/>
    <x v="5"/>
    <s v="Sports Item 04"/>
    <n v="16"/>
    <n v="42.93"/>
    <n v="10"/>
    <n v="686.88"/>
    <n v="68.69"/>
    <n v="618.19000000000005"/>
    <n v="299.94"/>
    <n v="318.25"/>
    <n v="51.5"/>
    <x v="2"/>
    <n v="5"/>
  </r>
  <r>
    <s v="ORD-10095"/>
    <x v="34"/>
    <s v="Feb 2024"/>
    <x v="0"/>
    <n v="2024"/>
    <x v="4"/>
    <x v="1"/>
    <x v="1"/>
    <x v="4"/>
    <s v="Electronics Item 28"/>
    <n v="6"/>
    <n v="804.09"/>
    <n v="15"/>
    <n v="4824.54"/>
    <n v="723.68"/>
    <n v="4100.8599999999997"/>
    <n v="2193.56"/>
    <n v="1907.3"/>
    <n v="46.5"/>
    <x v="2"/>
    <n v="2"/>
  </r>
  <r>
    <s v="ORD-10096"/>
    <x v="34"/>
    <s v="Feb 2024"/>
    <x v="0"/>
    <n v="2024"/>
    <x v="3"/>
    <x v="8"/>
    <x v="2"/>
    <x v="1"/>
    <s v="Clothing Item 23"/>
    <n v="3"/>
    <n v="65.55"/>
    <n v="20"/>
    <n v="196.65"/>
    <n v="39.33"/>
    <n v="157.32"/>
    <n v="69.489999999999995"/>
    <n v="87.83"/>
    <n v="55.8"/>
    <x v="1"/>
    <n v="1"/>
  </r>
  <r>
    <s v="ORD-10097"/>
    <x v="34"/>
    <s v="Feb 2024"/>
    <x v="0"/>
    <n v="2024"/>
    <x v="4"/>
    <x v="9"/>
    <x v="0"/>
    <x v="3"/>
    <s v="Home &amp; Garden Item 13"/>
    <n v="19"/>
    <n v="403.68"/>
    <n v="20"/>
    <n v="7669.92"/>
    <n v="1533.98"/>
    <n v="6135.94"/>
    <n v="3222.91"/>
    <n v="2913.03"/>
    <n v="47.5"/>
    <x v="1"/>
    <n v="2"/>
  </r>
  <r>
    <s v="ORD-10098"/>
    <x v="35"/>
    <s v="Feb 2024"/>
    <x v="0"/>
    <n v="2024"/>
    <x v="4"/>
    <x v="0"/>
    <x v="2"/>
    <x v="0"/>
    <s v="Beauty Item 13"/>
    <n v="1"/>
    <n v="71.17"/>
    <n v="0"/>
    <n v="71.17"/>
    <n v="0"/>
    <n v="71.17"/>
    <n v="36.979999999999997"/>
    <n v="34.19"/>
    <n v="48"/>
    <x v="2"/>
    <n v="3"/>
  </r>
  <r>
    <s v="ORD-10099"/>
    <x v="35"/>
    <s v="Feb 2024"/>
    <x v="0"/>
    <n v="2024"/>
    <x v="0"/>
    <x v="7"/>
    <x v="3"/>
    <x v="1"/>
    <s v="Clothing Item 41"/>
    <n v="8"/>
    <n v="89"/>
    <n v="10"/>
    <n v="712"/>
    <n v="71.2"/>
    <n v="640.79999999999995"/>
    <n v="294.35000000000002"/>
    <n v="346.45"/>
    <n v="54.1"/>
    <x v="2"/>
    <n v="1"/>
  </r>
  <r>
    <s v="ORD-10100"/>
    <x v="35"/>
    <s v="Feb 2024"/>
    <x v="0"/>
    <n v="2024"/>
    <x v="1"/>
    <x v="3"/>
    <x v="0"/>
    <x v="3"/>
    <s v="Home &amp; Garden Item 13"/>
    <n v="10"/>
    <n v="231.07"/>
    <n v="15"/>
    <n v="2310.6999999999998"/>
    <n v="346.6"/>
    <n v="1964.1"/>
    <n v="873.83"/>
    <n v="1090.27"/>
    <n v="55.5"/>
    <x v="0"/>
    <n v="2"/>
  </r>
  <r>
    <s v="ORD-10101"/>
    <x v="35"/>
    <s v="Feb 2024"/>
    <x v="0"/>
    <n v="2024"/>
    <x v="0"/>
    <x v="2"/>
    <x v="3"/>
    <x v="5"/>
    <s v="Sports Item 05"/>
    <n v="2"/>
    <n v="383.68"/>
    <n v="10"/>
    <n v="767.36"/>
    <n v="76.739999999999995"/>
    <n v="690.62"/>
    <n v="330.46"/>
    <n v="360.16"/>
    <n v="52.2"/>
    <x v="2"/>
    <n v="1"/>
  </r>
  <r>
    <s v="ORD-10102"/>
    <x v="36"/>
    <s v="Feb 2024"/>
    <x v="0"/>
    <n v="2024"/>
    <x v="2"/>
    <x v="2"/>
    <x v="2"/>
    <x v="2"/>
    <s v="Food &amp; Beverage Item 22"/>
    <n v="9"/>
    <n v="30.43"/>
    <n v="10"/>
    <n v="273.87"/>
    <n v="27.39"/>
    <n v="246.48"/>
    <n v="86.63"/>
    <n v="159.85"/>
    <n v="64.900000000000006"/>
    <x v="0"/>
    <n v="3"/>
  </r>
  <r>
    <s v="ORD-10103"/>
    <x v="36"/>
    <s v="Feb 2024"/>
    <x v="0"/>
    <n v="2024"/>
    <x v="4"/>
    <x v="1"/>
    <x v="2"/>
    <x v="5"/>
    <s v="Sports Item 13"/>
    <n v="8"/>
    <n v="95.06"/>
    <n v="0"/>
    <n v="760.48"/>
    <n v="0"/>
    <n v="760.48"/>
    <n v="322.33"/>
    <n v="438.15"/>
    <n v="57.6"/>
    <x v="2"/>
    <n v="5"/>
  </r>
  <r>
    <s v="ORD-10104"/>
    <x v="36"/>
    <s v="Feb 2024"/>
    <x v="0"/>
    <n v="2024"/>
    <x v="3"/>
    <x v="3"/>
    <x v="2"/>
    <x v="4"/>
    <s v="Electronics Item 43"/>
    <n v="18"/>
    <n v="845.88"/>
    <n v="0"/>
    <n v="15225.84"/>
    <n v="0"/>
    <n v="15225.84"/>
    <n v="6340.92"/>
    <n v="8884.92"/>
    <n v="58.4"/>
    <x v="2"/>
    <n v="4"/>
  </r>
  <r>
    <s v="ORD-10105"/>
    <x v="36"/>
    <s v="Feb 2024"/>
    <x v="0"/>
    <n v="2024"/>
    <x v="3"/>
    <x v="1"/>
    <x v="0"/>
    <x v="4"/>
    <s v="Electronics Item 31"/>
    <n v="10"/>
    <n v="472.45"/>
    <n v="15"/>
    <n v="4724.5"/>
    <n v="708.67"/>
    <n v="4015.83"/>
    <n v="2296.83"/>
    <n v="1719"/>
    <n v="42.8"/>
    <x v="2"/>
    <n v="2"/>
  </r>
  <r>
    <s v="ORD-10106"/>
    <x v="37"/>
    <s v="Feb 2024"/>
    <x v="0"/>
    <n v="2024"/>
    <x v="2"/>
    <x v="6"/>
    <x v="2"/>
    <x v="2"/>
    <s v="Food &amp; Beverage Item 45"/>
    <n v="6"/>
    <n v="64.8"/>
    <n v="0"/>
    <n v="388.8"/>
    <n v="0"/>
    <n v="388.8"/>
    <n v="186.95"/>
    <n v="201.85"/>
    <n v="51.9"/>
    <x v="1"/>
    <n v="1"/>
  </r>
  <r>
    <s v="ORD-10107"/>
    <x v="38"/>
    <s v="Feb 2024"/>
    <x v="0"/>
    <n v="2024"/>
    <x v="1"/>
    <x v="9"/>
    <x v="3"/>
    <x v="0"/>
    <s v="Beauty Item 45"/>
    <n v="15"/>
    <n v="47.34"/>
    <n v="5"/>
    <n v="710.1"/>
    <n v="35.51"/>
    <n v="674.59"/>
    <n v="406.13"/>
    <n v="268.45999999999998"/>
    <n v="39.799999999999997"/>
    <x v="0"/>
    <n v="1"/>
  </r>
  <r>
    <s v="ORD-10108"/>
    <x v="38"/>
    <s v="Feb 2024"/>
    <x v="0"/>
    <n v="2024"/>
    <x v="4"/>
    <x v="3"/>
    <x v="1"/>
    <x v="1"/>
    <s v="Clothing Item 30"/>
    <n v="19"/>
    <n v="30.28"/>
    <n v="0"/>
    <n v="575.32000000000005"/>
    <n v="0"/>
    <n v="575.32000000000005"/>
    <n v="224.54"/>
    <n v="350.78"/>
    <n v="61"/>
    <x v="1"/>
    <n v="3"/>
  </r>
  <r>
    <s v="ORD-10109"/>
    <x v="38"/>
    <s v="Feb 2024"/>
    <x v="0"/>
    <n v="2024"/>
    <x v="2"/>
    <x v="3"/>
    <x v="0"/>
    <x v="2"/>
    <s v="Food &amp; Beverage Item 39"/>
    <n v="16"/>
    <n v="36.840000000000003"/>
    <n v="0"/>
    <n v="589.44000000000005"/>
    <n v="0"/>
    <n v="589.44000000000005"/>
    <n v="335.92"/>
    <n v="253.52"/>
    <n v="43"/>
    <x v="0"/>
    <n v="3"/>
  </r>
  <r>
    <s v="ORD-10110"/>
    <x v="39"/>
    <s v="Feb 2024"/>
    <x v="0"/>
    <n v="2024"/>
    <x v="2"/>
    <x v="2"/>
    <x v="3"/>
    <x v="1"/>
    <s v="Clothing Item 45"/>
    <n v="18"/>
    <n v="94.66"/>
    <n v="0"/>
    <n v="1703.88"/>
    <n v="0"/>
    <n v="1703.88"/>
    <n v="1045.0999999999999"/>
    <n v="658.78"/>
    <n v="38.700000000000003"/>
    <x v="1"/>
    <n v="2"/>
  </r>
  <r>
    <s v="ORD-10111"/>
    <x v="39"/>
    <s v="Feb 2024"/>
    <x v="0"/>
    <n v="2024"/>
    <x v="2"/>
    <x v="4"/>
    <x v="0"/>
    <x v="3"/>
    <s v="Home &amp; Garden Item 22"/>
    <n v="17"/>
    <n v="497.65"/>
    <n v="15"/>
    <n v="8460.0499999999993"/>
    <n v="1269.01"/>
    <n v="7191.04"/>
    <n v="3515.37"/>
    <n v="3675.67"/>
    <n v="51.1"/>
    <x v="2"/>
    <n v="3"/>
  </r>
  <r>
    <s v="ORD-10112"/>
    <x v="39"/>
    <s v="Feb 2024"/>
    <x v="0"/>
    <n v="2024"/>
    <x v="4"/>
    <x v="2"/>
    <x v="2"/>
    <x v="0"/>
    <s v="Beauty Item 38"/>
    <n v="4"/>
    <n v="35.26"/>
    <n v="0"/>
    <n v="141.04"/>
    <n v="0"/>
    <n v="141.04"/>
    <n v="64.540000000000006"/>
    <n v="76.5"/>
    <n v="54.2"/>
    <x v="2"/>
    <n v="4"/>
  </r>
  <r>
    <s v="ORD-10113"/>
    <x v="39"/>
    <s v="Feb 2024"/>
    <x v="0"/>
    <n v="2024"/>
    <x v="4"/>
    <x v="8"/>
    <x v="0"/>
    <x v="4"/>
    <s v="Electronics Item 37"/>
    <n v="19"/>
    <n v="387.83"/>
    <n v="20"/>
    <n v="7368.77"/>
    <n v="1473.75"/>
    <n v="5895.02"/>
    <n v="2603.4899999999998"/>
    <n v="3291.53"/>
    <n v="55.8"/>
    <x v="2"/>
    <n v="2"/>
  </r>
  <r>
    <s v="ORD-10114"/>
    <x v="39"/>
    <s v="Feb 2024"/>
    <x v="0"/>
    <n v="2024"/>
    <x v="4"/>
    <x v="7"/>
    <x v="2"/>
    <x v="0"/>
    <s v="Beauty Item 22"/>
    <n v="4"/>
    <n v="24.36"/>
    <n v="0"/>
    <n v="97.44"/>
    <n v="0"/>
    <n v="97.44"/>
    <n v="50.23"/>
    <n v="47.21"/>
    <n v="48.5"/>
    <x v="2"/>
    <n v="5"/>
  </r>
  <r>
    <s v="ORD-10115"/>
    <x v="40"/>
    <s v="Feb 2024"/>
    <x v="0"/>
    <n v="2024"/>
    <x v="4"/>
    <x v="2"/>
    <x v="3"/>
    <x v="5"/>
    <s v="Sports Item 40"/>
    <n v="9"/>
    <n v="147.97"/>
    <n v="0"/>
    <n v="1331.73"/>
    <n v="0"/>
    <n v="1331.73"/>
    <n v="536.33000000000004"/>
    <n v="795.4"/>
    <n v="59.7"/>
    <x v="2"/>
    <n v="4"/>
  </r>
  <r>
    <s v="ORD-10116"/>
    <x v="41"/>
    <s v="Feb 2024"/>
    <x v="0"/>
    <n v="2024"/>
    <x v="0"/>
    <x v="1"/>
    <x v="3"/>
    <x v="4"/>
    <s v="Electronics Item 20"/>
    <n v="18"/>
    <n v="389.99"/>
    <n v="15"/>
    <n v="7019.82"/>
    <n v="1052.97"/>
    <n v="5966.85"/>
    <n v="3174.29"/>
    <n v="2792.56"/>
    <n v="46.8"/>
    <x v="2"/>
    <n v="2"/>
  </r>
  <r>
    <s v="ORD-10117"/>
    <x v="41"/>
    <s v="Feb 2024"/>
    <x v="0"/>
    <n v="2024"/>
    <x v="2"/>
    <x v="5"/>
    <x v="1"/>
    <x v="1"/>
    <s v="Clothing Item 27"/>
    <n v="12"/>
    <n v="97.49"/>
    <n v="15"/>
    <n v="1169.8800000000001"/>
    <n v="175.48"/>
    <n v="994.4"/>
    <n v="599.16"/>
    <n v="395.24"/>
    <n v="39.700000000000003"/>
    <x v="2"/>
    <n v="2"/>
  </r>
  <r>
    <s v="ORD-10118"/>
    <x v="41"/>
    <s v="Feb 2024"/>
    <x v="0"/>
    <n v="2024"/>
    <x v="0"/>
    <x v="4"/>
    <x v="2"/>
    <x v="4"/>
    <s v="Electronics Item 22"/>
    <n v="18"/>
    <n v="875.31"/>
    <n v="15"/>
    <n v="15755.58"/>
    <n v="2363.34"/>
    <n v="13392.24"/>
    <n v="8137.31"/>
    <n v="5254.93"/>
    <n v="39.200000000000003"/>
    <x v="1"/>
    <n v="2"/>
  </r>
  <r>
    <s v="ORD-10119"/>
    <x v="41"/>
    <s v="Feb 2024"/>
    <x v="0"/>
    <n v="2024"/>
    <x v="1"/>
    <x v="4"/>
    <x v="1"/>
    <x v="5"/>
    <s v="Sports Item 11"/>
    <n v="2"/>
    <n v="87.49"/>
    <n v="0"/>
    <n v="174.98"/>
    <n v="0"/>
    <n v="174.98"/>
    <n v="68.59"/>
    <n v="106.39"/>
    <n v="60.8"/>
    <x v="2"/>
    <n v="1"/>
  </r>
  <r>
    <s v="ORD-10120"/>
    <x v="42"/>
    <s v="Feb 2024"/>
    <x v="0"/>
    <n v="2024"/>
    <x v="2"/>
    <x v="5"/>
    <x v="3"/>
    <x v="4"/>
    <s v="Electronics Item 07"/>
    <n v="15"/>
    <n v="560.49"/>
    <n v="0"/>
    <n v="8407.35"/>
    <n v="0"/>
    <n v="8407.35"/>
    <n v="4301.08"/>
    <n v="4106.2700000000004"/>
    <n v="48.8"/>
    <x v="0"/>
    <n v="2"/>
  </r>
  <r>
    <s v="ORD-10121"/>
    <x v="42"/>
    <s v="Feb 2024"/>
    <x v="0"/>
    <n v="2024"/>
    <x v="4"/>
    <x v="5"/>
    <x v="2"/>
    <x v="2"/>
    <s v="Food &amp; Beverage Item 30"/>
    <n v="18"/>
    <n v="38.53"/>
    <n v="0"/>
    <n v="693.54"/>
    <n v="0"/>
    <n v="693.54"/>
    <n v="297.51"/>
    <n v="396.03"/>
    <n v="57.1"/>
    <x v="1"/>
    <n v="1"/>
  </r>
  <r>
    <s v="ORD-10122"/>
    <x v="43"/>
    <s v="Feb 2024"/>
    <x v="0"/>
    <n v="2024"/>
    <x v="4"/>
    <x v="7"/>
    <x v="1"/>
    <x v="1"/>
    <s v="Clothing Item 03"/>
    <n v="7"/>
    <n v="149.46"/>
    <n v="10"/>
    <n v="1046.22"/>
    <n v="104.62"/>
    <n v="941.6"/>
    <n v="579.92999999999995"/>
    <n v="361.67"/>
    <n v="38.4"/>
    <x v="1"/>
    <n v="2"/>
  </r>
  <r>
    <s v="ORD-10123"/>
    <x v="44"/>
    <s v="Feb 2024"/>
    <x v="0"/>
    <n v="2024"/>
    <x v="4"/>
    <x v="7"/>
    <x v="0"/>
    <x v="5"/>
    <s v="Sports Item 32"/>
    <n v="14"/>
    <n v="366.85"/>
    <n v="20"/>
    <n v="5135.8999999999996"/>
    <n v="1027.18"/>
    <n v="4108.72"/>
    <n v="1532.3"/>
    <n v="2576.42"/>
    <n v="62.7"/>
    <x v="0"/>
    <n v="4"/>
  </r>
  <r>
    <s v="ORD-10124"/>
    <x v="44"/>
    <s v="Feb 2024"/>
    <x v="0"/>
    <n v="2024"/>
    <x v="0"/>
    <x v="9"/>
    <x v="0"/>
    <x v="2"/>
    <s v="Food &amp; Beverage Item 15"/>
    <n v="4"/>
    <n v="51.11"/>
    <n v="0"/>
    <n v="204.44"/>
    <n v="0"/>
    <n v="204.44"/>
    <n v="76.180000000000007"/>
    <n v="128.26"/>
    <n v="62.7"/>
    <x v="2"/>
    <n v="1"/>
  </r>
  <r>
    <s v="ORD-10125"/>
    <x v="44"/>
    <s v="Feb 2024"/>
    <x v="0"/>
    <n v="2024"/>
    <x v="4"/>
    <x v="8"/>
    <x v="3"/>
    <x v="3"/>
    <s v="Home &amp; Garden Item 01"/>
    <n v="8"/>
    <n v="228.77"/>
    <n v="0"/>
    <n v="1830.16"/>
    <n v="0"/>
    <n v="1830.16"/>
    <n v="650.78"/>
    <n v="1179.3800000000001"/>
    <n v="64.400000000000006"/>
    <x v="2"/>
    <n v="4"/>
  </r>
  <r>
    <s v="ORD-10126"/>
    <x v="44"/>
    <s v="Feb 2024"/>
    <x v="0"/>
    <n v="2024"/>
    <x v="2"/>
    <x v="2"/>
    <x v="3"/>
    <x v="0"/>
    <s v="Beauty Item 41"/>
    <n v="10"/>
    <n v="99.53"/>
    <n v="20"/>
    <n v="995.3"/>
    <n v="199.06"/>
    <n v="796.24"/>
    <n v="399.83"/>
    <n v="396.41"/>
    <n v="49.8"/>
    <x v="1"/>
    <n v="3"/>
  </r>
  <r>
    <s v="ORD-10127"/>
    <x v="44"/>
    <s v="Feb 2024"/>
    <x v="0"/>
    <n v="2024"/>
    <x v="3"/>
    <x v="0"/>
    <x v="1"/>
    <x v="2"/>
    <s v="Food &amp; Beverage Item 15"/>
    <n v="2"/>
    <n v="64.36"/>
    <n v="20"/>
    <n v="128.72"/>
    <n v="25.74"/>
    <n v="102.98"/>
    <n v="37.01"/>
    <n v="65.97"/>
    <n v="64.099999999999994"/>
    <x v="1"/>
    <n v="1"/>
  </r>
  <r>
    <s v="ORD-10128"/>
    <x v="44"/>
    <s v="Feb 2024"/>
    <x v="0"/>
    <n v="2024"/>
    <x v="2"/>
    <x v="8"/>
    <x v="1"/>
    <x v="3"/>
    <s v="Home &amp; Garden Item 45"/>
    <n v="15"/>
    <n v="47.53"/>
    <n v="20"/>
    <n v="712.95"/>
    <n v="142.59"/>
    <n v="570.36"/>
    <n v="299.19"/>
    <n v="271.17"/>
    <n v="47.5"/>
    <x v="2"/>
    <n v="1"/>
  </r>
  <r>
    <s v="ORD-10129"/>
    <x v="45"/>
    <s v="Feb 2024"/>
    <x v="0"/>
    <n v="2024"/>
    <x v="1"/>
    <x v="9"/>
    <x v="1"/>
    <x v="5"/>
    <s v="Sports Item 15"/>
    <n v="9"/>
    <n v="276.69"/>
    <n v="20"/>
    <n v="2490.21"/>
    <n v="498.04"/>
    <n v="1992.17"/>
    <n v="939.39"/>
    <n v="1052.78"/>
    <n v="52.8"/>
    <x v="1"/>
    <n v="5"/>
  </r>
  <r>
    <s v="ORD-10130"/>
    <x v="46"/>
    <s v="Feb 2024"/>
    <x v="0"/>
    <n v="2024"/>
    <x v="2"/>
    <x v="6"/>
    <x v="2"/>
    <x v="5"/>
    <s v="Sports Item 30"/>
    <n v="12"/>
    <n v="177.33"/>
    <n v="10"/>
    <n v="2127.96"/>
    <n v="212.8"/>
    <n v="1915.16"/>
    <n v="1009.31"/>
    <n v="905.85"/>
    <n v="47.3"/>
    <x v="2"/>
    <n v="1"/>
  </r>
  <r>
    <s v="ORD-10131"/>
    <x v="46"/>
    <s v="Feb 2024"/>
    <x v="0"/>
    <n v="2024"/>
    <x v="4"/>
    <x v="4"/>
    <x v="0"/>
    <x v="5"/>
    <s v="Sports Item 40"/>
    <n v="3"/>
    <n v="217.41"/>
    <n v="5"/>
    <n v="652.23"/>
    <n v="32.61"/>
    <n v="619.62"/>
    <n v="385.34"/>
    <n v="234.28"/>
    <n v="37.799999999999997"/>
    <x v="0"/>
    <n v="4"/>
  </r>
  <r>
    <s v="ORD-10132"/>
    <x v="47"/>
    <s v="Feb 2024"/>
    <x v="0"/>
    <n v="2024"/>
    <x v="2"/>
    <x v="7"/>
    <x v="2"/>
    <x v="1"/>
    <s v="Clothing Item 14"/>
    <n v="15"/>
    <n v="153.72999999999999"/>
    <n v="15"/>
    <n v="2305.9499999999998"/>
    <n v="345.89"/>
    <n v="1960.06"/>
    <n v="1010.37"/>
    <n v="949.69"/>
    <n v="48.5"/>
    <x v="2"/>
    <n v="5"/>
  </r>
  <r>
    <s v="ORD-10133"/>
    <x v="47"/>
    <s v="Feb 2024"/>
    <x v="0"/>
    <n v="2024"/>
    <x v="2"/>
    <x v="1"/>
    <x v="2"/>
    <x v="5"/>
    <s v="Sports Item 16"/>
    <n v="4"/>
    <n v="85"/>
    <n v="0"/>
    <n v="340"/>
    <n v="0"/>
    <n v="340"/>
    <n v="174.43"/>
    <n v="165.57"/>
    <n v="48.7"/>
    <x v="2"/>
    <n v="2"/>
  </r>
  <r>
    <s v="ORD-10134"/>
    <x v="47"/>
    <s v="Feb 2024"/>
    <x v="0"/>
    <n v="2024"/>
    <x v="0"/>
    <x v="7"/>
    <x v="1"/>
    <x v="0"/>
    <s v="Beauty Item 31"/>
    <n v="8"/>
    <n v="14.36"/>
    <n v="15"/>
    <n v="114.88"/>
    <n v="17.23"/>
    <n v="97.65"/>
    <n v="63.44"/>
    <n v="34.21"/>
    <n v="35"/>
    <x v="0"/>
    <n v="1"/>
  </r>
  <r>
    <s v="ORD-10135"/>
    <x v="48"/>
    <s v="Feb 2024"/>
    <x v="0"/>
    <n v="2024"/>
    <x v="3"/>
    <x v="3"/>
    <x v="0"/>
    <x v="1"/>
    <s v="Clothing Item 48"/>
    <n v="7"/>
    <n v="172"/>
    <n v="0"/>
    <n v="1204"/>
    <n v="0"/>
    <n v="1204"/>
    <n v="591.91999999999996"/>
    <n v="612.08000000000004"/>
    <n v="50.8"/>
    <x v="0"/>
    <n v="2"/>
  </r>
  <r>
    <s v="ORD-10136"/>
    <x v="48"/>
    <s v="Feb 2024"/>
    <x v="0"/>
    <n v="2024"/>
    <x v="2"/>
    <x v="5"/>
    <x v="1"/>
    <x v="5"/>
    <s v="Sports Item 50"/>
    <n v="19"/>
    <n v="279.27999999999997"/>
    <n v="15"/>
    <n v="5306.32"/>
    <n v="795.95"/>
    <n v="4510.37"/>
    <n v="2627.56"/>
    <n v="1882.81"/>
    <n v="41.7"/>
    <x v="0"/>
    <n v="3"/>
  </r>
  <r>
    <s v="ORD-10137"/>
    <x v="48"/>
    <s v="Feb 2024"/>
    <x v="0"/>
    <n v="2024"/>
    <x v="1"/>
    <x v="5"/>
    <x v="0"/>
    <x v="1"/>
    <s v="Clothing Item 22"/>
    <n v="12"/>
    <n v="96.06"/>
    <n v="0"/>
    <n v="1152.72"/>
    <n v="0"/>
    <n v="1152.72"/>
    <n v="529.96"/>
    <n v="622.76"/>
    <n v="54"/>
    <x v="2"/>
    <n v="2"/>
  </r>
  <r>
    <s v="ORD-10138"/>
    <x v="49"/>
    <s v="Feb 2024"/>
    <x v="0"/>
    <n v="2024"/>
    <x v="2"/>
    <x v="7"/>
    <x v="0"/>
    <x v="0"/>
    <s v="Beauty Item 48"/>
    <n v="20"/>
    <n v="27.67"/>
    <n v="15"/>
    <n v="553.4"/>
    <n v="83.01"/>
    <n v="470.39"/>
    <n v="196.15"/>
    <n v="274.24"/>
    <n v="58.3"/>
    <x v="2"/>
    <n v="1"/>
  </r>
  <r>
    <s v="ORD-10139"/>
    <x v="49"/>
    <s v="Feb 2024"/>
    <x v="0"/>
    <n v="2024"/>
    <x v="3"/>
    <x v="4"/>
    <x v="1"/>
    <x v="0"/>
    <s v="Beauty Item 25"/>
    <n v="14"/>
    <n v="43.04"/>
    <n v="5"/>
    <n v="602.55999999999995"/>
    <n v="30.13"/>
    <n v="572.42999999999995"/>
    <n v="332.95"/>
    <n v="239.48"/>
    <n v="41.8"/>
    <x v="1"/>
    <n v="2"/>
  </r>
  <r>
    <s v="ORD-10140"/>
    <x v="49"/>
    <s v="Feb 2024"/>
    <x v="0"/>
    <n v="2024"/>
    <x v="3"/>
    <x v="3"/>
    <x v="3"/>
    <x v="2"/>
    <s v="Food &amp; Beverage Item 14"/>
    <n v="6"/>
    <n v="53.39"/>
    <n v="0"/>
    <n v="320.33999999999997"/>
    <n v="0"/>
    <n v="320.33999999999997"/>
    <n v="182.58"/>
    <n v="137.76"/>
    <n v="43"/>
    <x v="2"/>
    <n v="1"/>
  </r>
  <r>
    <s v="ORD-10141"/>
    <x v="49"/>
    <s v="Feb 2024"/>
    <x v="0"/>
    <n v="2024"/>
    <x v="3"/>
    <x v="1"/>
    <x v="2"/>
    <x v="1"/>
    <s v="Clothing Item 26"/>
    <n v="20"/>
    <n v="82"/>
    <n v="0"/>
    <n v="1640"/>
    <n v="0"/>
    <n v="1640"/>
    <n v="717.17"/>
    <n v="922.83"/>
    <n v="56.3"/>
    <x v="2"/>
    <n v="1"/>
  </r>
  <r>
    <s v="ORD-10142"/>
    <x v="49"/>
    <s v="Feb 2024"/>
    <x v="0"/>
    <n v="2024"/>
    <x v="3"/>
    <x v="1"/>
    <x v="0"/>
    <x v="4"/>
    <s v="Electronics Item 12"/>
    <n v="5"/>
    <n v="1141.8900000000001"/>
    <n v="5"/>
    <n v="5709.45"/>
    <n v="285.47000000000003"/>
    <n v="5423.98"/>
    <n v="2654.55"/>
    <n v="2769.43"/>
    <n v="51.1"/>
    <x v="0"/>
    <n v="5"/>
  </r>
  <r>
    <s v="ORD-10143"/>
    <x v="50"/>
    <s v="Feb 2024"/>
    <x v="0"/>
    <n v="2024"/>
    <x v="3"/>
    <x v="2"/>
    <x v="1"/>
    <x v="3"/>
    <s v="Home &amp; Garden Item 01"/>
    <n v="7"/>
    <n v="35.54"/>
    <n v="5"/>
    <n v="248.78"/>
    <n v="12.44"/>
    <n v="236.34"/>
    <n v="118.91"/>
    <n v="117.43"/>
    <n v="49.7"/>
    <x v="1"/>
    <n v="4"/>
  </r>
  <r>
    <s v="ORD-10144"/>
    <x v="51"/>
    <s v="Feb 2024"/>
    <x v="0"/>
    <n v="2024"/>
    <x v="0"/>
    <x v="4"/>
    <x v="2"/>
    <x v="5"/>
    <s v="Sports Item 24"/>
    <n v="7"/>
    <n v="82.54"/>
    <n v="5"/>
    <n v="577.78"/>
    <n v="28.89"/>
    <n v="548.89"/>
    <n v="257.45"/>
    <n v="291.44"/>
    <n v="53.1"/>
    <x v="2"/>
    <n v="2"/>
  </r>
  <r>
    <s v="ORD-10145"/>
    <x v="51"/>
    <s v="Feb 2024"/>
    <x v="0"/>
    <n v="2024"/>
    <x v="3"/>
    <x v="6"/>
    <x v="2"/>
    <x v="3"/>
    <s v="Home &amp; Garden Item 01"/>
    <n v="2"/>
    <n v="235.96"/>
    <n v="15"/>
    <n v="471.92"/>
    <n v="70.790000000000006"/>
    <n v="401.13"/>
    <n v="200.83"/>
    <n v="200.3"/>
    <n v="49.9"/>
    <x v="1"/>
    <n v="2"/>
  </r>
  <r>
    <s v="ORD-10146"/>
    <x v="51"/>
    <s v="Feb 2024"/>
    <x v="0"/>
    <n v="2024"/>
    <x v="0"/>
    <x v="6"/>
    <x v="1"/>
    <x v="0"/>
    <s v="Beauty Item 05"/>
    <n v="19"/>
    <n v="61.94"/>
    <n v="0"/>
    <n v="1176.8599999999999"/>
    <n v="0"/>
    <n v="1176.8599999999999"/>
    <n v="645.86"/>
    <n v="531"/>
    <n v="45.1"/>
    <x v="2"/>
    <n v="4"/>
  </r>
  <r>
    <s v="ORD-10147"/>
    <x v="51"/>
    <s v="Feb 2024"/>
    <x v="0"/>
    <n v="2024"/>
    <x v="2"/>
    <x v="9"/>
    <x v="3"/>
    <x v="3"/>
    <s v="Home &amp; Garden Item 23"/>
    <n v="12"/>
    <n v="233.09"/>
    <n v="10"/>
    <n v="2797.08"/>
    <n v="279.70999999999998"/>
    <n v="2517.37"/>
    <n v="1521.48"/>
    <n v="995.89"/>
    <n v="39.6"/>
    <x v="1"/>
    <n v="2"/>
  </r>
  <r>
    <s v="ORD-10148"/>
    <x v="52"/>
    <s v="Feb 2024"/>
    <x v="0"/>
    <n v="2024"/>
    <x v="2"/>
    <x v="0"/>
    <x v="3"/>
    <x v="4"/>
    <s v="Electronics Item 02"/>
    <n v="18"/>
    <n v="138.41999999999999"/>
    <n v="15"/>
    <n v="2491.56"/>
    <n v="373.73"/>
    <n v="2117.83"/>
    <n v="1253.67"/>
    <n v="864.16"/>
    <n v="40.799999999999997"/>
    <x v="0"/>
    <n v="5"/>
  </r>
  <r>
    <s v="ORD-10149"/>
    <x v="52"/>
    <s v="Feb 2024"/>
    <x v="0"/>
    <n v="2024"/>
    <x v="0"/>
    <x v="2"/>
    <x v="1"/>
    <x v="3"/>
    <s v="Home &amp; Garden Item 36"/>
    <n v="9"/>
    <n v="86.09"/>
    <n v="10"/>
    <n v="774.81"/>
    <n v="77.48"/>
    <n v="697.33"/>
    <n v="372.52"/>
    <n v="324.81"/>
    <n v="46.6"/>
    <x v="2"/>
    <n v="3"/>
  </r>
  <r>
    <s v="ORD-10150"/>
    <x v="52"/>
    <s v="Feb 2024"/>
    <x v="0"/>
    <n v="2024"/>
    <x v="4"/>
    <x v="9"/>
    <x v="3"/>
    <x v="2"/>
    <s v="Food &amp; Beverage Item 08"/>
    <n v="20"/>
    <n v="32.520000000000003"/>
    <n v="20"/>
    <n v="650.4"/>
    <n v="130.08000000000001"/>
    <n v="520.32000000000005"/>
    <n v="208"/>
    <n v="312.32"/>
    <n v="60"/>
    <x v="2"/>
    <n v="4"/>
  </r>
  <r>
    <s v="ORD-10151"/>
    <x v="52"/>
    <s v="Feb 2024"/>
    <x v="0"/>
    <n v="2024"/>
    <x v="3"/>
    <x v="2"/>
    <x v="2"/>
    <x v="3"/>
    <s v="Home &amp; Garden Item 10"/>
    <n v="18"/>
    <n v="170.91"/>
    <n v="0"/>
    <n v="3076.38"/>
    <n v="0"/>
    <n v="3076.38"/>
    <n v="1551.24"/>
    <n v="1525.14"/>
    <n v="49.6"/>
    <x v="2"/>
    <n v="4"/>
  </r>
  <r>
    <s v="ORD-10152"/>
    <x v="53"/>
    <s v="Feb 2024"/>
    <x v="0"/>
    <n v="2024"/>
    <x v="3"/>
    <x v="1"/>
    <x v="1"/>
    <x v="0"/>
    <s v="Beauty Item 19"/>
    <n v="6"/>
    <n v="49.02"/>
    <n v="0"/>
    <n v="294.12"/>
    <n v="0"/>
    <n v="294.12"/>
    <n v="142.31"/>
    <n v="151.81"/>
    <n v="51.6"/>
    <x v="2"/>
    <n v="3"/>
  </r>
  <r>
    <s v="ORD-10153"/>
    <x v="54"/>
    <s v="Feb 2024"/>
    <x v="0"/>
    <n v="2024"/>
    <x v="2"/>
    <x v="9"/>
    <x v="0"/>
    <x v="0"/>
    <s v="Beauty Item 29"/>
    <n v="11"/>
    <n v="144.47"/>
    <n v="15"/>
    <n v="1589.17"/>
    <n v="238.38"/>
    <n v="1350.79"/>
    <n v="545.37"/>
    <n v="805.42"/>
    <n v="59.6"/>
    <x v="2"/>
    <n v="4"/>
  </r>
  <r>
    <s v="ORD-10154"/>
    <x v="54"/>
    <s v="Feb 2024"/>
    <x v="0"/>
    <n v="2024"/>
    <x v="0"/>
    <x v="2"/>
    <x v="1"/>
    <x v="2"/>
    <s v="Food &amp; Beverage Item 13"/>
    <n v="10"/>
    <n v="6.94"/>
    <n v="15"/>
    <n v="69.400000000000006"/>
    <n v="10.41"/>
    <n v="58.99"/>
    <n v="37.44"/>
    <n v="21.55"/>
    <n v="36.5"/>
    <x v="2"/>
    <n v="1"/>
  </r>
  <r>
    <s v="ORD-10155"/>
    <x v="54"/>
    <s v="Feb 2024"/>
    <x v="0"/>
    <n v="2024"/>
    <x v="3"/>
    <x v="1"/>
    <x v="3"/>
    <x v="5"/>
    <s v="Sports Item 41"/>
    <n v="10"/>
    <n v="94.77"/>
    <n v="0"/>
    <n v="947.7"/>
    <n v="0"/>
    <n v="947.7"/>
    <n v="519.16999999999996"/>
    <n v="428.53"/>
    <n v="45.2"/>
    <x v="1"/>
    <n v="3"/>
  </r>
  <r>
    <s v="ORD-10156"/>
    <x v="54"/>
    <s v="Feb 2024"/>
    <x v="0"/>
    <n v="2024"/>
    <x v="2"/>
    <x v="2"/>
    <x v="2"/>
    <x v="1"/>
    <s v="Clothing Item 38"/>
    <n v="19"/>
    <n v="110.78"/>
    <n v="15"/>
    <n v="2104.8200000000002"/>
    <n v="315.72000000000003"/>
    <n v="1789.1"/>
    <n v="1145.5999999999999"/>
    <n v="643.5"/>
    <n v="36"/>
    <x v="2"/>
    <n v="1"/>
  </r>
  <r>
    <s v="ORD-10157"/>
    <x v="55"/>
    <s v="Feb 2024"/>
    <x v="0"/>
    <n v="2024"/>
    <x v="3"/>
    <x v="0"/>
    <x v="2"/>
    <x v="5"/>
    <s v="Sports Item 49"/>
    <n v="9"/>
    <n v="367.58"/>
    <n v="10"/>
    <n v="3308.22"/>
    <n v="330.82"/>
    <n v="2977.4"/>
    <n v="1699.43"/>
    <n v="1277.97"/>
    <n v="42.9"/>
    <x v="2"/>
    <n v="2"/>
  </r>
  <r>
    <s v="ORD-10158"/>
    <x v="55"/>
    <s v="Feb 2024"/>
    <x v="0"/>
    <n v="2024"/>
    <x v="0"/>
    <x v="2"/>
    <x v="0"/>
    <x v="0"/>
    <s v="Beauty Item 24"/>
    <n v="17"/>
    <n v="26.49"/>
    <n v="15"/>
    <n v="450.33"/>
    <n v="67.55"/>
    <n v="382.78"/>
    <n v="189.5"/>
    <n v="193.28"/>
    <n v="50.5"/>
    <x v="2"/>
    <n v="1"/>
  </r>
  <r>
    <s v="ORD-10159"/>
    <x v="55"/>
    <s v="Feb 2024"/>
    <x v="0"/>
    <n v="2024"/>
    <x v="4"/>
    <x v="0"/>
    <x v="1"/>
    <x v="5"/>
    <s v="Sports Item 03"/>
    <n v="4"/>
    <n v="315.61"/>
    <n v="20"/>
    <n v="1262.44"/>
    <n v="252.49"/>
    <n v="1009.95"/>
    <n v="462.19"/>
    <n v="547.76"/>
    <n v="54.2"/>
    <x v="1"/>
    <n v="1"/>
  </r>
  <r>
    <s v="ORD-10160"/>
    <x v="55"/>
    <s v="Feb 2024"/>
    <x v="0"/>
    <n v="2024"/>
    <x v="1"/>
    <x v="2"/>
    <x v="3"/>
    <x v="3"/>
    <s v="Home &amp; Garden Item 02"/>
    <n v="5"/>
    <n v="357.94"/>
    <n v="5"/>
    <n v="1789.7"/>
    <n v="89.49"/>
    <n v="1700.21"/>
    <n v="706.69"/>
    <n v="993.52"/>
    <n v="58.4"/>
    <x v="2"/>
    <n v="5"/>
  </r>
  <r>
    <s v="ORD-10161"/>
    <x v="55"/>
    <s v="Feb 2024"/>
    <x v="0"/>
    <n v="2024"/>
    <x v="2"/>
    <x v="1"/>
    <x v="0"/>
    <x v="3"/>
    <s v="Home &amp; Garden Item 13"/>
    <n v="14"/>
    <n v="122.99"/>
    <n v="15"/>
    <n v="1721.86"/>
    <n v="258.27999999999997"/>
    <n v="1463.58"/>
    <n v="726.36"/>
    <n v="737.22"/>
    <n v="50.4"/>
    <x v="2"/>
    <n v="2"/>
  </r>
  <r>
    <s v="ORD-10162"/>
    <x v="56"/>
    <s v="Feb 2024"/>
    <x v="0"/>
    <n v="2024"/>
    <x v="2"/>
    <x v="4"/>
    <x v="1"/>
    <x v="0"/>
    <s v="Beauty Item 13"/>
    <n v="2"/>
    <n v="95.66"/>
    <n v="0"/>
    <n v="191.32"/>
    <n v="0"/>
    <n v="191.32"/>
    <n v="70.569999999999993"/>
    <n v="120.75"/>
    <n v="63.1"/>
    <x v="2"/>
    <n v="5"/>
  </r>
  <r>
    <s v="ORD-10163"/>
    <x v="56"/>
    <s v="Feb 2024"/>
    <x v="0"/>
    <n v="2024"/>
    <x v="1"/>
    <x v="6"/>
    <x v="3"/>
    <x v="0"/>
    <s v="Beauty Item 19"/>
    <n v="9"/>
    <n v="107.16"/>
    <n v="10"/>
    <n v="964.44"/>
    <n v="96.44"/>
    <n v="868"/>
    <n v="400"/>
    <n v="468"/>
    <n v="53.9"/>
    <x v="1"/>
    <n v="2"/>
  </r>
  <r>
    <s v="ORD-10164"/>
    <x v="56"/>
    <s v="Feb 2024"/>
    <x v="0"/>
    <n v="2024"/>
    <x v="1"/>
    <x v="4"/>
    <x v="3"/>
    <x v="5"/>
    <s v="Sports Item 12"/>
    <n v="5"/>
    <n v="399.49"/>
    <n v="0"/>
    <n v="1997.45"/>
    <n v="0"/>
    <n v="1997.45"/>
    <n v="724.76"/>
    <n v="1272.69"/>
    <n v="63.7"/>
    <x v="2"/>
    <n v="1"/>
  </r>
  <r>
    <s v="ORD-10165"/>
    <x v="57"/>
    <s v="Mar 2024"/>
    <x v="0"/>
    <n v="2024"/>
    <x v="2"/>
    <x v="7"/>
    <x v="2"/>
    <x v="5"/>
    <s v="Sports Item 15"/>
    <n v="5"/>
    <n v="100.07"/>
    <n v="20"/>
    <n v="500.35"/>
    <n v="100.07"/>
    <n v="400.28"/>
    <n v="164.93"/>
    <n v="235.35"/>
    <n v="58.8"/>
    <x v="2"/>
    <n v="4"/>
  </r>
  <r>
    <s v="ORD-10166"/>
    <x v="58"/>
    <s v="Mar 2024"/>
    <x v="0"/>
    <n v="2024"/>
    <x v="4"/>
    <x v="0"/>
    <x v="2"/>
    <x v="3"/>
    <s v="Home &amp; Garden Item 17"/>
    <n v="8"/>
    <n v="85.15"/>
    <n v="0"/>
    <n v="681.2"/>
    <n v="0"/>
    <n v="681.2"/>
    <n v="423.92"/>
    <n v="257.27999999999997"/>
    <n v="37.799999999999997"/>
    <x v="0"/>
    <n v="4"/>
  </r>
  <r>
    <s v="ORD-10167"/>
    <x v="58"/>
    <s v="Mar 2024"/>
    <x v="0"/>
    <n v="2024"/>
    <x v="2"/>
    <x v="5"/>
    <x v="2"/>
    <x v="1"/>
    <s v="Clothing Item 47"/>
    <n v="5"/>
    <n v="28.7"/>
    <n v="20"/>
    <n v="143.5"/>
    <n v="28.7"/>
    <n v="114.8"/>
    <n v="52.62"/>
    <n v="62.18"/>
    <n v="54.2"/>
    <x v="1"/>
    <n v="4"/>
  </r>
  <r>
    <s v="ORD-10168"/>
    <x v="58"/>
    <s v="Mar 2024"/>
    <x v="0"/>
    <n v="2024"/>
    <x v="1"/>
    <x v="2"/>
    <x v="3"/>
    <x v="2"/>
    <s v="Food &amp; Beverage Item 12"/>
    <n v="11"/>
    <n v="17.95"/>
    <n v="15"/>
    <n v="197.45"/>
    <n v="29.62"/>
    <n v="167.83"/>
    <n v="82.39"/>
    <n v="85.44"/>
    <n v="50.9"/>
    <x v="2"/>
    <n v="5"/>
  </r>
  <r>
    <s v="ORD-10169"/>
    <x v="58"/>
    <s v="Mar 2024"/>
    <x v="0"/>
    <n v="2024"/>
    <x v="3"/>
    <x v="6"/>
    <x v="1"/>
    <x v="1"/>
    <s v="Clothing Item 22"/>
    <n v="8"/>
    <n v="146.97"/>
    <n v="10"/>
    <n v="1175.76"/>
    <n v="117.58"/>
    <n v="1058.18"/>
    <n v="514.69000000000005"/>
    <n v="543.49"/>
    <n v="51.4"/>
    <x v="2"/>
    <n v="3"/>
  </r>
  <r>
    <s v="ORD-10170"/>
    <x v="58"/>
    <s v="Mar 2024"/>
    <x v="0"/>
    <n v="2024"/>
    <x v="0"/>
    <x v="4"/>
    <x v="1"/>
    <x v="0"/>
    <s v="Beauty Item 36"/>
    <n v="13"/>
    <n v="149.62"/>
    <n v="0"/>
    <n v="1945.06"/>
    <n v="0"/>
    <n v="1945.06"/>
    <n v="707.87"/>
    <n v="1237.19"/>
    <n v="63.6"/>
    <x v="2"/>
    <n v="5"/>
  </r>
  <r>
    <s v="ORD-10171"/>
    <x v="59"/>
    <s v="Mar 2024"/>
    <x v="0"/>
    <n v="2024"/>
    <x v="3"/>
    <x v="5"/>
    <x v="1"/>
    <x v="5"/>
    <s v="Sports Item 16"/>
    <n v="16"/>
    <n v="328.94"/>
    <n v="0"/>
    <n v="5263.04"/>
    <n v="0"/>
    <n v="5263.04"/>
    <n v="3390.33"/>
    <n v="1872.71"/>
    <n v="35.6"/>
    <x v="0"/>
    <n v="5"/>
  </r>
  <r>
    <s v="ORD-10172"/>
    <x v="60"/>
    <s v="Mar 2024"/>
    <x v="0"/>
    <n v="2024"/>
    <x v="4"/>
    <x v="0"/>
    <x v="0"/>
    <x v="1"/>
    <s v="Clothing Item 12"/>
    <n v="5"/>
    <n v="194"/>
    <n v="0"/>
    <n v="970"/>
    <n v="0"/>
    <n v="970"/>
    <n v="433.8"/>
    <n v="536.20000000000005"/>
    <n v="55.3"/>
    <x v="0"/>
    <n v="3"/>
  </r>
  <r>
    <s v="ORD-10173"/>
    <x v="60"/>
    <s v="Mar 2024"/>
    <x v="0"/>
    <n v="2024"/>
    <x v="2"/>
    <x v="9"/>
    <x v="0"/>
    <x v="5"/>
    <s v="Sports Item 13"/>
    <n v="19"/>
    <n v="394.97"/>
    <n v="5"/>
    <n v="7504.43"/>
    <n v="375.22"/>
    <n v="7129.21"/>
    <n v="4000.35"/>
    <n v="3128.86"/>
    <n v="43.9"/>
    <x v="2"/>
    <n v="2"/>
  </r>
  <r>
    <s v="ORD-10174"/>
    <x v="61"/>
    <s v="Mar 2024"/>
    <x v="0"/>
    <n v="2024"/>
    <x v="2"/>
    <x v="5"/>
    <x v="2"/>
    <x v="4"/>
    <s v="Electronics Item 02"/>
    <n v="9"/>
    <n v="818.02"/>
    <n v="0"/>
    <n v="7362.18"/>
    <n v="0"/>
    <n v="7362.18"/>
    <n v="3728.3"/>
    <n v="3633.88"/>
    <n v="49.4"/>
    <x v="2"/>
    <n v="4"/>
  </r>
  <r>
    <s v="ORD-10175"/>
    <x v="61"/>
    <s v="Mar 2024"/>
    <x v="0"/>
    <n v="2024"/>
    <x v="0"/>
    <x v="4"/>
    <x v="2"/>
    <x v="3"/>
    <s v="Home &amp; Garden Item 12"/>
    <n v="14"/>
    <n v="360.58"/>
    <n v="15"/>
    <n v="5048.12"/>
    <n v="757.22"/>
    <n v="4290.8999999999996"/>
    <n v="2569.79"/>
    <n v="1721.11"/>
    <n v="40.1"/>
    <x v="1"/>
    <n v="2"/>
  </r>
  <r>
    <s v="ORD-10176"/>
    <x v="61"/>
    <s v="Mar 2024"/>
    <x v="0"/>
    <n v="2024"/>
    <x v="3"/>
    <x v="2"/>
    <x v="1"/>
    <x v="2"/>
    <s v="Food &amp; Beverage Item 17"/>
    <n v="13"/>
    <n v="46.25"/>
    <n v="0"/>
    <n v="601.25"/>
    <n v="0"/>
    <n v="601.25"/>
    <n v="361.03"/>
    <n v="240.22"/>
    <n v="40"/>
    <x v="1"/>
    <n v="3"/>
  </r>
  <r>
    <s v="ORD-10177"/>
    <x v="61"/>
    <s v="Mar 2024"/>
    <x v="0"/>
    <n v="2024"/>
    <x v="0"/>
    <x v="9"/>
    <x v="2"/>
    <x v="5"/>
    <s v="Sports Item 07"/>
    <n v="15"/>
    <n v="133.88999999999999"/>
    <n v="15"/>
    <n v="2008.35"/>
    <n v="301.25"/>
    <n v="1707.1"/>
    <n v="732.34"/>
    <n v="974.76"/>
    <n v="57.1"/>
    <x v="0"/>
    <n v="1"/>
  </r>
  <r>
    <s v="ORD-10178"/>
    <x v="62"/>
    <s v="Mar 2024"/>
    <x v="0"/>
    <n v="2024"/>
    <x v="4"/>
    <x v="8"/>
    <x v="1"/>
    <x v="2"/>
    <s v="Food &amp; Beverage Item 02"/>
    <n v="3"/>
    <n v="27.5"/>
    <n v="20"/>
    <n v="82.5"/>
    <n v="16.5"/>
    <n v="66"/>
    <n v="33.880000000000003"/>
    <n v="32.119999999999997"/>
    <n v="48.7"/>
    <x v="1"/>
    <n v="5"/>
  </r>
  <r>
    <s v="ORD-10179"/>
    <x v="62"/>
    <s v="Mar 2024"/>
    <x v="0"/>
    <n v="2024"/>
    <x v="3"/>
    <x v="2"/>
    <x v="1"/>
    <x v="5"/>
    <s v="Sports Item 44"/>
    <n v="3"/>
    <n v="84.06"/>
    <n v="10"/>
    <n v="252.18"/>
    <n v="25.22"/>
    <n v="226.96"/>
    <n v="91.27"/>
    <n v="135.69"/>
    <n v="59.8"/>
    <x v="2"/>
    <n v="4"/>
  </r>
  <r>
    <s v="ORD-10180"/>
    <x v="62"/>
    <s v="Mar 2024"/>
    <x v="0"/>
    <n v="2024"/>
    <x v="3"/>
    <x v="9"/>
    <x v="0"/>
    <x v="5"/>
    <s v="Sports Item 09"/>
    <n v="13"/>
    <n v="291.08999999999997"/>
    <n v="20"/>
    <n v="3784.17"/>
    <n v="756.83"/>
    <n v="3027.34"/>
    <n v="1653.24"/>
    <n v="1374.1"/>
    <n v="45.4"/>
    <x v="2"/>
    <n v="2"/>
  </r>
  <r>
    <s v="ORD-10181"/>
    <x v="62"/>
    <s v="Mar 2024"/>
    <x v="0"/>
    <n v="2024"/>
    <x v="4"/>
    <x v="5"/>
    <x v="1"/>
    <x v="2"/>
    <s v="Food &amp; Beverage Item 25"/>
    <n v="17"/>
    <n v="57.52"/>
    <n v="0"/>
    <n v="977.84"/>
    <n v="0"/>
    <n v="977.84"/>
    <n v="449.4"/>
    <n v="528.44000000000005"/>
    <n v="54"/>
    <x v="2"/>
    <n v="2"/>
  </r>
  <r>
    <s v="ORD-10182"/>
    <x v="63"/>
    <s v="Mar 2024"/>
    <x v="0"/>
    <n v="2024"/>
    <x v="2"/>
    <x v="7"/>
    <x v="2"/>
    <x v="2"/>
    <s v="Food &amp; Beverage Item 42"/>
    <n v="9"/>
    <n v="18.059999999999999"/>
    <n v="15"/>
    <n v="162.54"/>
    <n v="24.38"/>
    <n v="138.16"/>
    <n v="75.44"/>
    <n v="62.72"/>
    <n v="45.4"/>
    <x v="2"/>
    <n v="4"/>
  </r>
  <r>
    <s v="ORD-10183"/>
    <x v="64"/>
    <s v="Mar 2024"/>
    <x v="0"/>
    <n v="2024"/>
    <x v="2"/>
    <x v="6"/>
    <x v="1"/>
    <x v="1"/>
    <s v="Clothing Item 08"/>
    <n v="12"/>
    <n v="81.88"/>
    <n v="0"/>
    <n v="982.56"/>
    <n v="0"/>
    <n v="982.56"/>
    <n v="590.16999999999996"/>
    <n v="392.39"/>
    <n v="39.9"/>
    <x v="2"/>
    <n v="5"/>
  </r>
  <r>
    <s v="ORD-10184"/>
    <x v="64"/>
    <s v="Mar 2024"/>
    <x v="0"/>
    <n v="2024"/>
    <x v="1"/>
    <x v="7"/>
    <x v="2"/>
    <x v="5"/>
    <s v="Sports Item 22"/>
    <n v="15"/>
    <n v="109.09"/>
    <n v="15"/>
    <n v="1636.35"/>
    <n v="245.45"/>
    <n v="1390.9"/>
    <n v="702.4"/>
    <n v="688.5"/>
    <n v="49.5"/>
    <x v="2"/>
    <n v="1"/>
  </r>
  <r>
    <s v="ORD-10185"/>
    <x v="64"/>
    <s v="Mar 2024"/>
    <x v="0"/>
    <n v="2024"/>
    <x v="2"/>
    <x v="8"/>
    <x v="1"/>
    <x v="4"/>
    <s v="Electronics Item 14"/>
    <n v="16"/>
    <n v="1182.9000000000001"/>
    <n v="0"/>
    <n v="18926.400000000001"/>
    <n v="0"/>
    <n v="18926.400000000001"/>
    <n v="8761"/>
    <n v="10165.4"/>
    <n v="53.7"/>
    <x v="2"/>
    <n v="2"/>
  </r>
  <r>
    <s v="ORD-10186"/>
    <x v="65"/>
    <s v="Mar 2024"/>
    <x v="0"/>
    <n v="2024"/>
    <x v="0"/>
    <x v="5"/>
    <x v="3"/>
    <x v="1"/>
    <s v="Clothing Item 20"/>
    <n v="11"/>
    <n v="161.53"/>
    <n v="0"/>
    <n v="1776.83"/>
    <n v="0"/>
    <n v="1776.83"/>
    <n v="1105.5"/>
    <n v="671.33"/>
    <n v="37.799999999999997"/>
    <x v="2"/>
    <n v="4"/>
  </r>
  <r>
    <s v="ORD-10187"/>
    <x v="65"/>
    <s v="Mar 2024"/>
    <x v="0"/>
    <n v="2024"/>
    <x v="4"/>
    <x v="1"/>
    <x v="0"/>
    <x v="0"/>
    <s v="Beauty Item 30"/>
    <n v="19"/>
    <n v="43.14"/>
    <n v="0"/>
    <n v="819.66"/>
    <n v="0"/>
    <n v="819.66"/>
    <n v="413.86"/>
    <n v="405.8"/>
    <n v="49.5"/>
    <x v="2"/>
    <n v="2"/>
  </r>
  <r>
    <s v="ORD-10188"/>
    <x v="66"/>
    <s v="Mar 2024"/>
    <x v="0"/>
    <n v="2024"/>
    <x v="2"/>
    <x v="4"/>
    <x v="0"/>
    <x v="0"/>
    <s v="Beauty Item 16"/>
    <n v="1"/>
    <n v="79.16"/>
    <n v="0"/>
    <n v="79.16"/>
    <n v="0"/>
    <n v="79.16"/>
    <n v="36.090000000000003"/>
    <n v="43.07"/>
    <n v="54.4"/>
    <x v="0"/>
    <n v="5"/>
  </r>
  <r>
    <s v="ORD-10189"/>
    <x v="67"/>
    <s v="Mar 2024"/>
    <x v="0"/>
    <n v="2024"/>
    <x v="3"/>
    <x v="4"/>
    <x v="1"/>
    <x v="3"/>
    <s v="Home &amp; Garden Item 24"/>
    <n v="3"/>
    <n v="193.23"/>
    <n v="15"/>
    <n v="579.69000000000005"/>
    <n v="86.95"/>
    <n v="492.74"/>
    <n v="300.73"/>
    <n v="192.01"/>
    <n v="39"/>
    <x v="2"/>
    <n v="5"/>
  </r>
  <r>
    <s v="ORD-10190"/>
    <x v="67"/>
    <s v="Mar 2024"/>
    <x v="0"/>
    <n v="2024"/>
    <x v="4"/>
    <x v="0"/>
    <x v="2"/>
    <x v="4"/>
    <s v="Electronics Item 24"/>
    <n v="15"/>
    <n v="708.12"/>
    <n v="20"/>
    <n v="10621.8"/>
    <n v="2124.36"/>
    <n v="8497.44"/>
    <n v="4215.2299999999996"/>
    <n v="4282.21"/>
    <n v="50.4"/>
    <x v="2"/>
    <n v="1"/>
  </r>
  <r>
    <s v="ORD-10191"/>
    <x v="68"/>
    <s v="Mar 2024"/>
    <x v="0"/>
    <n v="2024"/>
    <x v="2"/>
    <x v="5"/>
    <x v="1"/>
    <x v="5"/>
    <s v="Sports Item 43"/>
    <n v="12"/>
    <n v="200.28"/>
    <n v="0"/>
    <n v="2403.36"/>
    <n v="0"/>
    <n v="2403.36"/>
    <n v="1188.78"/>
    <n v="1214.58"/>
    <n v="50.5"/>
    <x v="0"/>
    <n v="4"/>
  </r>
  <r>
    <s v="ORD-10192"/>
    <x v="68"/>
    <s v="Mar 2024"/>
    <x v="0"/>
    <n v="2024"/>
    <x v="0"/>
    <x v="9"/>
    <x v="0"/>
    <x v="4"/>
    <s v="Electronics Item 11"/>
    <n v="3"/>
    <n v="1180.46"/>
    <n v="5"/>
    <n v="3541.38"/>
    <n v="177.07"/>
    <n v="3364.31"/>
    <n v="1787.33"/>
    <n v="1576.98"/>
    <n v="46.9"/>
    <x v="2"/>
    <n v="4"/>
  </r>
  <r>
    <s v="ORD-10193"/>
    <x v="68"/>
    <s v="Mar 2024"/>
    <x v="0"/>
    <n v="2024"/>
    <x v="1"/>
    <x v="2"/>
    <x v="2"/>
    <x v="0"/>
    <s v="Beauty Item 34"/>
    <n v="18"/>
    <n v="28.17"/>
    <n v="20"/>
    <n v="507.06"/>
    <n v="101.41"/>
    <n v="405.65"/>
    <n v="203.05"/>
    <n v="202.6"/>
    <n v="49.9"/>
    <x v="2"/>
    <n v="3"/>
  </r>
  <r>
    <s v="ORD-10194"/>
    <x v="69"/>
    <s v="Mar 2024"/>
    <x v="0"/>
    <n v="2024"/>
    <x v="1"/>
    <x v="8"/>
    <x v="3"/>
    <x v="5"/>
    <s v="Sports Item 40"/>
    <n v="13"/>
    <n v="356.59"/>
    <n v="0"/>
    <n v="4635.67"/>
    <n v="0"/>
    <n v="4635.67"/>
    <n v="1815.75"/>
    <n v="2819.92"/>
    <n v="60.8"/>
    <x v="2"/>
    <n v="4"/>
  </r>
  <r>
    <s v="ORD-10195"/>
    <x v="70"/>
    <s v="Mar 2024"/>
    <x v="0"/>
    <n v="2024"/>
    <x v="4"/>
    <x v="6"/>
    <x v="3"/>
    <x v="4"/>
    <s v="Electronics Item 28"/>
    <n v="7"/>
    <n v="125.61"/>
    <n v="0"/>
    <n v="879.27"/>
    <n v="0"/>
    <n v="879.27"/>
    <n v="351.43"/>
    <n v="527.84"/>
    <n v="60"/>
    <x v="1"/>
    <n v="4"/>
  </r>
  <r>
    <s v="ORD-10196"/>
    <x v="70"/>
    <s v="Mar 2024"/>
    <x v="0"/>
    <n v="2024"/>
    <x v="0"/>
    <x v="5"/>
    <x v="2"/>
    <x v="2"/>
    <s v="Food &amp; Beverage Item 46"/>
    <n v="14"/>
    <n v="34.86"/>
    <n v="0"/>
    <n v="488.04"/>
    <n v="0"/>
    <n v="488.04"/>
    <n v="182.1"/>
    <n v="305.94"/>
    <n v="62.7"/>
    <x v="0"/>
    <n v="2"/>
  </r>
  <r>
    <s v="ORD-10197"/>
    <x v="70"/>
    <s v="Mar 2024"/>
    <x v="0"/>
    <n v="2024"/>
    <x v="0"/>
    <x v="6"/>
    <x v="1"/>
    <x v="1"/>
    <s v="Clothing Item 05"/>
    <n v="7"/>
    <n v="147.63"/>
    <n v="10"/>
    <n v="1033.4100000000001"/>
    <n v="103.34"/>
    <n v="930.07"/>
    <n v="505.07"/>
    <n v="425"/>
    <n v="45.7"/>
    <x v="2"/>
    <n v="1"/>
  </r>
  <r>
    <s v="ORD-10198"/>
    <x v="71"/>
    <s v="Mar 2024"/>
    <x v="0"/>
    <n v="2024"/>
    <x v="0"/>
    <x v="5"/>
    <x v="0"/>
    <x v="5"/>
    <s v="Sports Item 08"/>
    <n v="16"/>
    <n v="204.5"/>
    <n v="0"/>
    <n v="3272"/>
    <n v="0"/>
    <n v="3272"/>
    <n v="1352.83"/>
    <n v="1919.17"/>
    <n v="58.7"/>
    <x v="2"/>
    <n v="3"/>
  </r>
  <r>
    <s v="ORD-10199"/>
    <x v="71"/>
    <s v="Mar 2024"/>
    <x v="0"/>
    <n v="2024"/>
    <x v="2"/>
    <x v="6"/>
    <x v="2"/>
    <x v="2"/>
    <s v="Food &amp; Beverage Item 10"/>
    <n v="9"/>
    <n v="35.81"/>
    <n v="5"/>
    <n v="322.29000000000002"/>
    <n v="16.11"/>
    <n v="306.18"/>
    <n v="124.33"/>
    <n v="181.85"/>
    <n v="59.4"/>
    <x v="2"/>
    <n v="4"/>
  </r>
  <r>
    <s v="ORD-10200"/>
    <x v="72"/>
    <s v="Mar 2024"/>
    <x v="0"/>
    <n v="2024"/>
    <x v="1"/>
    <x v="3"/>
    <x v="1"/>
    <x v="1"/>
    <s v="Clothing Item 09"/>
    <n v="11"/>
    <n v="90.75"/>
    <n v="20"/>
    <n v="998.25"/>
    <n v="199.65"/>
    <n v="798.6"/>
    <n v="366.29"/>
    <n v="432.31"/>
    <n v="54.1"/>
    <x v="0"/>
    <n v="2"/>
  </r>
  <r>
    <s v="ORD-10201"/>
    <x v="72"/>
    <s v="Mar 2024"/>
    <x v="0"/>
    <n v="2024"/>
    <x v="0"/>
    <x v="2"/>
    <x v="2"/>
    <x v="4"/>
    <s v="Electronics Item 13"/>
    <n v="10"/>
    <n v="711.14"/>
    <n v="0"/>
    <n v="7111.4"/>
    <n v="0"/>
    <n v="7111.4"/>
    <n v="4019.3"/>
    <n v="3092.1"/>
    <n v="43.5"/>
    <x v="0"/>
    <n v="3"/>
  </r>
  <r>
    <s v="ORD-10202"/>
    <x v="73"/>
    <s v="Mar 2024"/>
    <x v="0"/>
    <n v="2024"/>
    <x v="3"/>
    <x v="1"/>
    <x v="2"/>
    <x v="5"/>
    <s v="Sports Item 13"/>
    <n v="11"/>
    <n v="72"/>
    <n v="5"/>
    <n v="792"/>
    <n v="39.6"/>
    <n v="752.4"/>
    <n v="290.05"/>
    <n v="462.35"/>
    <n v="61.5"/>
    <x v="2"/>
    <n v="1"/>
  </r>
  <r>
    <s v="ORD-10203"/>
    <x v="73"/>
    <s v="Mar 2024"/>
    <x v="0"/>
    <n v="2024"/>
    <x v="2"/>
    <x v="0"/>
    <x v="0"/>
    <x v="3"/>
    <s v="Home &amp; Garden Item 35"/>
    <n v="18"/>
    <n v="172.17"/>
    <n v="0"/>
    <n v="3099.06"/>
    <n v="0"/>
    <n v="3099.06"/>
    <n v="1298.83"/>
    <n v="1800.23"/>
    <n v="58.1"/>
    <x v="1"/>
    <n v="1"/>
  </r>
  <r>
    <s v="ORD-10204"/>
    <x v="73"/>
    <s v="Mar 2024"/>
    <x v="0"/>
    <n v="2024"/>
    <x v="3"/>
    <x v="3"/>
    <x v="3"/>
    <x v="3"/>
    <s v="Home &amp; Garden Item 25"/>
    <n v="19"/>
    <n v="55.6"/>
    <n v="20"/>
    <n v="1056.4000000000001"/>
    <n v="211.28"/>
    <n v="845.12"/>
    <n v="501.45"/>
    <n v="343.67"/>
    <n v="40.700000000000003"/>
    <x v="1"/>
    <n v="1"/>
  </r>
  <r>
    <s v="ORD-10205"/>
    <x v="73"/>
    <s v="Mar 2024"/>
    <x v="0"/>
    <n v="2024"/>
    <x v="3"/>
    <x v="4"/>
    <x v="3"/>
    <x v="0"/>
    <s v="Beauty Item 45"/>
    <n v="5"/>
    <n v="75.22"/>
    <n v="15"/>
    <n v="376.1"/>
    <n v="56.41"/>
    <n v="319.69"/>
    <n v="180.97"/>
    <n v="138.72"/>
    <n v="43.4"/>
    <x v="2"/>
    <n v="3"/>
  </r>
  <r>
    <s v="ORD-10206"/>
    <x v="73"/>
    <s v="Mar 2024"/>
    <x v="0"/>
    <n v="2024"/>
    <x v="4"/>
    <x v="2"/>
    <x v="3"/>
    <x v="2"/>
    <s v="Food &amp; Beverage Item 24"/>
    <n v="19"/>
    <n v="43.8"/>
    <n v="10"/>
    <n v="832.2"/>
    <n v="83.22"/>
    <n v="748.98"/>
    <n v="370.34"/>
    <n v="378.64"/>
    <n v="50.6"/>
    <x v="2"/>
    <n v="5"/>
  </r>
  <r>
    <s v="ORD-10207"/>
    <x v="74"/>
    <s v="Mar 2024"/>
    <x v="0"/>
    <n v="2024"/>
    <x v="2"/>
    <x v="6"/>
    <x v="3"/>
    <x v="5"/>
    <s v="Sports Item 21"/>
    <n v="16"/>
    <n v="73.13"/>
    <n v="10"/>
    <n v="1170.08"/>
    <n v="117.01"/>
    <n v="1053.07"/>
    <n v="519.84"/>
    <n v="533.23"/>
    <n v="50.6"/>
    <x v="2"/>
    <n v="3"/>
  </r>
  <r>
    <s v="ORD-10208"/>
    <x v="74"/>
    <s v="Mar 2024"/>
    <x v="0"/>
    <n v="2024"/>
    <x v="3"/>
    <x v="4"/>
    <x v="0"/>
    <x v="2"/>
    <s v="Food &amp; Beverage Item 39"/>
    <n v="11"/>
    <n v="67.180000000000007"/>
    <n v="10"/>
    <n v="738.98"/>
    <n v="73.900000000000006"/>
    <n v="665.08"/>
    <n v="274.82"/>
    <n v="390.26"/>
    <n v="58.7"/>
    <x v="0"/>
    <n v="1"/>
  </r>
  <r>
    <s v="ORD-10209"/>
    <x v="74"/>
    <s v="Mar 2024"/>
    <x v="0"/>
    <n v="2024"/>
    <x v="2"/>
    <x v="4"/>
    <x v="1"/>
    <x v="4"/>
    <s v="Electronics Item 28"/>
    <n v="2"/>
    <n v="684"/>
    <n v="0"/>
    <n v="1368"/>
    <n v="0"/>
    <n v="1368"/>
    <n v="544.98"/>
    <n v="823.02"/>
    <n v="60.2"/>
    <x v="0"/>
    <n v="2"/>
  </r>
  <r>
    <s v="ORD-10210"/>
    <x v="74"/>
    <s v="Mar 2024"/>
    <x v="0"/>
    <n v="2024"/>
    <x v="0"/>
    <x v="8"/>
    <x v="2"/>
    <x v="3"/>
    <s v="Home &amp; Garden Item 41"/>
    <n v="2"/>
    <n v="302.14"/>
    <n v="5"/>
    <n v="604.28"/>
    <n v="30.21"/>
    <n v="574.07000000000005"/>
    <n v="344.45"/>
    <n v="229.62"/>
    <n v="40"/>
    <x v="0"/>
    <n v="3"/>
  </r>
  <r>
    <s v="ORD-10211"/>
    <x v="75"/>
    <s v="Mar 2024"/>
    <x v="0"/>
    <n v="2024"/>
    <x v="4"/>
    <x v="7"/>
    <x v="0"/>
    <x v="2"/>
    <s v="Food &amp; Beverage Item 16"/>
    <n v="4"/>
    <n v="62.58"/>
    <n v="0"/>
    <n v="250.32"/>
    <n v="0"/>
    <n v="250.32"/>
    <n v="89.3"/>
    <n v="161.02000000000001"/>
    <n v="64.3"/>
    <x v="2"/>
    <n v="2"/>
  </r>
  <r>
    <s v="ORD-10212"/>
    <x v="75"/>
    <s v="Mar 2024"/>
    <x v="0"/>
    <n v="2024"/>
    <x v="1"/>
    <x v="0"/>
    <x v="3"/>
    <x v="0"/>
    <s v="Beauty Item 03"/>
    <n v="15"/>
    <n v="28.06"/>
    <n v="10"/>
    <n v="420.9"/>
    <n v="42.09"/>
    <n v="378.81"/>
    <n v="137.49"/>
    <n v="241.32"/>
    <n v="63.7"/>
    <x v="2"/>
    <n v="5"/>
  </r>
  <r>
    <s v="ORD-10213"/>
    <x v="75"/>
    <s v="Mar 2024"/>
    <x v="0"/>
    <n v="2024"/>
    <x v="3"/>
    <x v="2"/>
    <x v="3"/>
    <x v="5"/>
    <s v="Sports Item 49"/>
    <n v="1"/>
    <n v="213.57"/>
    <n v="0"/>
    <n v="213.57"/>
    <n v="0"/>
    <n v="213.57"/>
    <n v="111.49"/>
    <n v="102.08"/>
    <n v="47.8"/>
    <x v="1"/>
    <n v="1"/>
  </r>
  <r>
    <s v="ORD-10214"/>
    <x v="75"/>
    <s v="Mar 2024"/>
    <x v="0"/>
    <n v="2024"/>
    <x v="4"/>
    <x v="2"/>
    <x v="0"/>
    <x v="3"/>
    <s v="Home &amp; Garden Item 40"/>
    <n v="4"/>
    <n v="436.74"/>
    <n v="20"/>
    <n v="1746.96"/>
    <n v="349.39"/>
    <n v="1397.57"/>
    <n v="556.71"/>
    <n v="840.86"/>
    <n v="60.2"/>
    <x v="2"/>
    <n v="1"/>
  </r>
  <r>
    <s v="ORD-10215"/>
    <x v="75"/>
    <s v="Mar 2024"/>
    <x v="0"/>
    <n v="2024"/>
    <x v="4"/>
    <x v="9"/>
    <x v="2"/>
    <x v="2"/>
    <s v="Food &amp; Beverage Item 38"/>
    <n v="6"/>
    <n v="67.349999999999994"/>
    <n v="15"/>
    <n v="404.1"/>
    <n v="60.62"/>
    <n v="343.48"/>
    <n v="185.09"/>
    <n v="158.38999999999999"/>
    <n v="46.1"/>
    <x v="0"/>
    <n v="2"/>
  </r>
  <r>
    <s v="ORD-10216"/>
    <x v="76"/>
    <s v="Mar 2024"/>
    <x v="0"/>
    <n v="2024"/>
    <x v="4"/>
    <x v="0"/>
    <x v="0"/>
    <x v="2"/>
    <s v="Food &amp; Beverage Item 13"/>
    <n v="15"/>
    <n v="43.86"/>
    <n v="5"/>
    <n v="657.9"/>
    <n v="32.9"/>
    <n v="625"/>
    <n v="226.1"/>
    <n v="398.9"/>
    <n v="63.8"/>
    <x v="1"/>
    <n v="5"/>
  </r>
  <r>
    <s v="ORD-10217"/>
    <x v="76"/>
    <s v="Mar 2024"/>
    <x v="0"/>
    <n v="2024"/>
    <x v="4"/>
    <x v="6"/>
    <x v="2"/>
    <x v="5"/>
    <s v="Sports Item 35"/>
    <n v="15"/>
    <n v="139.05000000000001"/>
    <n v="10"/>
    <n v="2085.75"/>
    <n v="208.58"/>
    <n v="1877.17"/>
    <n v="979.28"/>
    <n v="897.89"/>
    <n v="47.8"/>
    <x v="2"/>
    <n v="1"/>
  </r>
  <r>
    <s v="ORD-10218"/>
    <x v="76"/>
    <s v="Mar 2024"/>
    <x v="0"/>
    <n v="2024"/>
    <x v="0"/>
    <x v="2"/>
    <x v="0"/>
    <x v="0"/>
    <s v="Beauty Item 19"/>
    <n v="1"/>
    <n v="32.68"/>
    <n v="0"/>
    <n v="32.68"/>
    <n v="0"/>
    <n v="32.68"/>
    <n v="11.99"/>
    <n v="20.69"/>
    <n v="63.3"/>
    <x v="2"/>
    <n v="3"/>
  </r>
  <r>
    <s v="ORD-10219"/>
    <x v="76"/>
    <s v="Mar 2024"/>
    <x v="0"/>
    <n v="2024"/>
    <x v="2"/>
    <x v="6"/>
    <x v="1"/>
    <x v="4"/>
    <s v="Electronics Item 10"/>
    <n v="14"/>
    <n v="1124.95"/>
    <n v="5"/>
    <n v="15749.3"/>
    <n v="787.47"/>
    <n v="14961.83"/>
    <n v="6395.85"/>
    <n v="8565.98"/>
    <n v="57.3"/>
    <x v="2"/>
    <n v="2"/>
  </r>
  <r>
    <s v="ORD-10220"/>
    <x v="77"/>
    <s v="Mar 2024"/>
    <x v="0"/>
    <n v="2024"/>
    <x v="1"/>
    <x v="5"/>
    <x v="3"/>
    <x v="0"/>
    <s v="Beauty Item 21"/>
    <n v="7"/>
    <n v="41.57"/>
    <n v="0"/>
    <n v="290.99"/>
    <n v="0"/>
    <n v="290.99"/>
    <n v="117.56"/>
    <n v="173.43"/>
    <n v="59.6"/>
    <x v="2"/>
    <n v="5"/>
  </r>
  <r>
    <s v="ORD-10221"/>
    <x v="77"/>
    <s v="Mar 2024"/>
    <x v="0"/>
    <n v="2024"/>
    <x v="1"/>
    <x v="6"/>
    <x v="1"/>
    <x v="4"/>
    <s v="Electronics Item 16"/>
    <n v="5"/>
    <n v="1139.6099999999999"/>
    <n v="20"/>
    <n v="5698.05"/>
    <n v="1139.6099999999999"/>
    <n v="4558.4399999999996"/>
    <n v="2905.88"/>
    <n v="1652.56"/>
    <n v="36.299999999999997"/>
    <x v="1"/>
    <n v="2"/>
  </r>
  <r>
    <s v="ORD-10222"/>
    <x v="78"/>
    <s v="Mar 2024"/>
    <x v="0"/>
    <n v="2024"/>
    <x v="2"/>
    <x v="7"/>
    <x v="0"/>
    <x v="1"/>
    <s v="Clothing Item 04"/>
    <n v="10"/>
    <n v="111"/>
    <n v="20"/>
    <n v="1110"/>
    <n v="222"/>
    <n v="888"/>
    <n v="470.47"/>
    <n v="417.53"/>
    <n v="47"/>
    <x v="1"/>
    <n v="1"/>
  </r>
  <r>
    <s v="ORD-10223"/>
    <x v="78"/>
    <s v="Mar 2024"/>
    <x v="0"/>
    <n v="2024"/>
    <x v="1"/>
    <x v="0"/>
    <x v="1"/>
    <x v="2"/>
    <s v="Food &amp; Beverage Item 41"/>
    <n v="6"/>
    <n v="26.3"/>
    <n v="0"/>
    <n v="157.80000000000001"/>
    <n v="0"/>
    <n v="157.80000000000001"/>
    <n v="81.91"/>
    <n v="75.89"/>
    <n v="48.1"/>
    <x v="2"/>
    <n v="2"/>
  </r>
  <r>
    <s v="ORD-10224"/>
    <x v="78"/>
    <s v="Mar 2024"/>
    <x v="0"/>
    <n v="2024"/>
    <x v="4"/>
    <x v="7"/>
    <x v="2"/>
    <x v="2"/>
    <s v="Food &amp; Beverage Item 18"/>
    <n v="9"/>
    <n v="10.91"/>
    <n v="0"/>
    <n v="98.19"/>
    <n v="0"/>
    <n v="98.19"/>
    <n v="34.909999999999997"/>
    <n v="63.28"/>
    <n v="64.400000000000006"/>
    <x v="0"/>
    <n v="3"/>
  </r>
  <r>
    <s v="ORD-10225"/>
    <x v="78"/>
    <s v="Mar 2024"/>
    <x v="0"/>
    <n v="2024"/>
    <x v="0"/>
    <x v="7"/>
    <x v="0"/>
    <x v="3"/>
    <s v="Home &amp; Garden Item 09"/>
    <n v="3"/>
    <n v="114.22"/>
    <n v="0"/>
    <n v="342.66"/>
    <n v="0"/>
    <n v="342.66"/>
    <n v="193.9"/>
    <n v="148.76"/>
    <n v="43.4"/>
    <x v="2"/>
    <n v="1"/>
  </r>
  <r>
    <s v="ORD-10226"/>
    <x v="79"/>
    <s v="Mar 2024"/>
    <x v="0"/>
    <n v="2024"/>
    <x v="4"/>
    <x v="4"/>
    <x v="2"/>
    <x v="1"/>
    <s v="Clothing Item 33"/>
    <n v="12"/>
    <n v="191.93"/>
    <n v="0"/>
    <n v="2303.16"/>
    <n v="0"/>
    <n v="2303.16"/>
    <n v="1263.3399999999999"/>
    <n v="1039.82"/>
    <n v="45.1"/>
    <x v="2"/>
    <n v="5"/>
  </r>
  <r>
    <s v="ORD-10227"/>
    <x v="79"/>
    <s v="Mar 2024"/>
    <x v="0"/>
    <n v="2024"/>
    <x v="4"/>
    <x v="3"/>
    <x v="1"/>
    <x v="2"/>
    <s v="Food &amp; Beverage Item 38"/>
    <n v="9"/>
    <n v="25.58"/>
    <n v="5"/>
    <n v="230.22"/>
    <n v="11.51"/>
    <n v="218.71"/>
    <n v="95.15"/>
    <n v="123.56"/>
    <n v="56.5"/>
    <x v="2"/>
    <n v="5"/>
  </r>
  <r>
    <s v="ORD-10228"/>
    <x v="79"/>
    <s v="Mar 2024"/>
    <x v="0"/>
    <n v="2024"/>
    <x v="0"/>
    <x v="7"/>
    <x v="3"/>
    <x v="4"/>
    <s v="Electronics Item 32"/>
    <n v="3"/>
    <n v="768.78"/>
    <n v="10"/>
    <n v="2306.34"/>
    <n v="230.63"/>
    <n v="2075.71"/>
    <n v="779.9"/>
    <n v="1295.81"/>
    <n v="62.4"/>
    <x v="0"/>
    <n v="1"/>
  </r>
  <r>
    <s v="ORD-10229"/>
    <x v="80"/>
    <s v="Mar 2024"/>
    <x v="0"/>
    <n v="2024"/>
    <x v="3"/>
    <x v="0"/>
    <x v="0"/>
    <x v="5"/>
    <s v="Sports Item 14"/>
    <n v="12"/>
    <n v="255.41"/>
    <n v="5"/>
    <n v="3064.92"/>
    <n v="153.25"/>
    <n v="2911.67"/>
    <n v="1411.46"/>
    <n v="1500.21"/>
    <n v="51.5"/>
    <x v="2"/>
    <n v="5"/>
  </r>
  <r>
    <s v="ORD-10230"/>
    <x v="80"/>
    <s v="Mar 2024"/>
    <x v="0"/>
    <n v="2024"/>
    <x v="1"/>
    <x v="3"/>
    <x v="2"/>
    <x v="4"/>
    <s v="Electronics Item 47"/>
    <n v="6"/>
    <n v="157.44"/>
    <n v="0"/>
    <n v="944.64"/>
    <n v="0"/>
    <n v="944.64"/>
    <n v="611.97"/>
    <n v="332.67"/>
    <n v="35.200000000000003"/>
    <x v="2"/>
    <n v="4"/>
  </r>
  <r>
    <s v="ORD-10231"/>
    <x v="81"/>
    <s v="Mar 2024"/>
    <x v="0"/>
    <n v="2024"/>
    <x v="0"/>
    <x v="0"/>
    <x v="1"/>
    <x v="2"/>
    <s v="Food &amp; Beverage Item 06"/>
    <n v="2"/>
    <n v="53.07"/>
    <n v="0"/>
    <n v="106.14"/>
    <n v="0"/>
    <n v="106.14"/>
    <n v="64.77"/>
    <n v="41.37"/>
    <n v="39"/>
    <x v="0"/>
    <n v="1"/>
  </r>
  <r>
    <s v="ORD-10232"/>
    <x v="82"/>
    <s v="Mar 2024"/>
    <x v="0"/>
    <n v="2024"/>
    <x v="2"/>
    <x v="4"/>
    <x v="0"/>
    <x v="2"/>
    <s v="Food &amp; Beverage Item 31"/>
    <n v="13"/>
    <n v="49.39"/>
    <n v="20"/>
    <n v="642.07000000000005"/>
    <n v="128.41"/>
    <n v="513.66"/>
    <n v="206.07"/>
    <n v="307.58999999999997"/>
    <n v="59.9"/>
    <x v="2"/>
    <n v="1"/>
  </r>
  <r>
    <s v="ORD-10233"/>
    <x v="83"/>
    <s v="Mar 2024"/>
    <x v="0"/>
    <n v="2024"/>
    <x v="2"/>
    <x v="1"/>
    <x v="3"/>
    <x v="4"/>
    <s v="Electronics Item 43"/>
    <n v="10"/>
    <n v="717.74"/>
    <n v="15"/>
    <n v="7177.4"/>
    <n v="1076.6099999999999"/>
    <n v="6100.79"/>
    <n v="3655.04"/>
    <n v="2445.75"/>
    <n v="40.1"/>
    <x v="2"/>
    <n v="3"/>
  </r>
  <r>
    <s v="ORD-10234"/>
    <x v="84"/>
    <s v="Mar 2024"/>
    <x v="0"/>
    <n v="2024"/>
    <x v="2"/>
    <x v="4"/>
    <x v="0"/>
    <x v="5"/>
    <s v="Sports Item 40"/>
    <n v="8"/>
    <n v="89.2"/>
    <n v="0"/>
    <n v="713.6"/>
    <n v="0"/>
    <n v="713.6"/>
    <n v="378.39"/>
    <n v="335.21"/>
    <n v="47"/>
    <x v="0"/>
    <n v="1"/>
  </r>
  <r>
    <s v="ORD-10235"/>
    <x v="85"/>
    <s v="Mar 2024"/>
    <x v="0"/>
    <n v="2024"/>
    <x v="3"/>
    <x v="4"/>
    <x v="3"/>
    <x v="1"/>
    <s v="Clothing Item 05"/>
    <n v="14"/>
    <n v="130.53"/>
    <n v="20"/>
    <n v="1827.42"/>
    <n v="365.48"/>
    <n v="1461.94"/>
    <n v="860.18"/>
    <n v="601.76"/>
    <n v="41.2"/>
    <x v="1"/>
    <n v="3"/>
  </r>
  <r>
    <s v="ORD-10236"/>
    <x v="85"/>
    <s v="Mar 2024"/>
    <x v="0"/>
    <n v="2024"/>
    <x v="0"/>
    <x v="2"/>
    <x v="1"/>
    <x v="2"/>
    <s v="Food &amp; Beverage Item 11"/>
    <n v="3"/>
    <n v="72.650000000000006"/>
    <n v="0"/>
    <n v="217.95"/>
    <n v="0"/>
    <n v="217.95"/>
    <n v="129.93"/>
    <n v="88.02"/>
    <n v="40.4"/>
    <x v="2"/>
    <n v="1"/>
  </r>
  <r>
    <s v="ORD-10237"/>
    <x v="85"/>
    <s v="Mar 2024"/>
    <x v="0"/>
    <n v="2024"/>
    <x v="3"/>
    <x v="1"/>
    <x v="2"/>
    <x v="3"/>
    <s v="Home &amp; Garden Item 33"/>
    <n v="4"/>
    <n v="182.06"/>
    <n v="5"/>
    <n v="728.24"/>
    <n v="36.409999999999997"/>
    <n v="691.83"/>
    <n v="279.89"/>
    <n v="411.94"/>
    <n v="59.5"/>
    <x v="1"/>
    <n v="3"/>
  </r>
  <r>
    <s v="ORD-10238"/>
    <x v="86"/>
    <s v="Apr 2024"/>
    <x v="1"/>
    <n v="2024"/>
    <x v="2"/>
    <x v="3"/>
    <x v="0"/>
    <x v="4"/>
    <s v="Electronics Item 25"/>
    <n v="1"/>
    <n v="1112.52"/>
    <n v="0"/>
    <n v="1112.52"/>
    <n v="0"/>
    <n v="1112.52"/>
    <n v="609.54"/>
    <n v="502.98"/>
    <n v="45.2"/>
    <x v="2"/>
    <n v="3"/>
  </r>
  <r>
    <s v="ORD-10239"/>
    <x v="86"/>
    <s v="Apr 2024"/>
    <x v="1"/>
    <n v="2024"/>
    <x v="4"/>
    <x v="7"/>
    <x v="0"/>
    <x v="4"/>
    <s v="Electronics Item 49"/>
    <n v="7"/>
    <n v="97.37"/>
    <n v="15"/>
    <n v="681.59"/>
    <n v="102.24"/>
    <n v="579.35"/>
    <n v="248.75"/>
    <n v="330.6"/>
    <n v="57.1"/>
    <x v="1"/>
    <n v="4"/>
  </r>
  <r>
    <s v="ORD-10240"/>
    <x v="86"/>
    <s v="Apr 2024"/>
    <x v="1"/>
    <n v="2024"/>
    <x v="4"/>
    <x v="0"/>
    <x v="2"/>
    <x v="3"/>
    <s v="Home &amp; Garden Item 42"/>
    <n v="16"/>
    <n v="434.61"/>
    <n v="0"/>
    <n v="6953.76"/>
    <n v="0"/>
    <n v="6953.76"/>
    <n v="3944.56"/>
    <n v="3009.2"/>
    <n v="43.3"/>
    <x v="2"/>
    <n v="5"/>
  </r>
  <r>
    <s v="ORD-10241"/>
    <x v="86"/>
    <s v="Apr 2024"/>
    <x v="1"/>
    <n v="2024"/>
    <x v="3"/>
    <x v="2"/>
    <x v="0"/>
    <x v="4"/>
    <s v="Electronics Item 49"/>
    <n v="3"/>
    <n v="143.41"/>
    <n v="0"/>
    <n v="430.23"/>
    <n v="0"/>
    <n v="430.23"/>
    <n v="194.81"/>
    <n v="235.42"/>
    <n v="54.7"/>
    <x v="2"/>
    <n v="2"/>
  </r>
  <r>
    <s v="ORD-10242"/>
    <x v="87"/>
    <s v="Apr 2024"/>
    <x v="1"/>
    <n v="2024"/>
    <x v="2"/>
    <x v="5"/>
    <x v="0"/>
    <x v="3"/>
    <s v="Home &amp; Garden Item 33"/>
    <n v="5"/>
    <n v="475.3"/>
    <n v="15"/>
    <n v="2376.5"/>
    <n v="356.47"/>
    <n v="2020.03"/>
    <n v="981.82"/>
    <n v="1038.21"/>
    <n v="51.4"/>
    <x v="2"/>
    <n v="3"/>
  </r>
  <r>
    <s v="ORD-10243"/>
    <x v="87"/>
    <s v="Apr 2024"/>
    <x v="1"/>
    <n v="2024"/>
    <x v="2"/>
    <x v="9"/>
    <x v="0"/>
    <x v="3"/>
    <s v="Home &amp; Garden Item 24"/>
    <n v="19"/>
    <n v="390.09"/>
    <n v="0"/>
    <n v="7411.71"/>
    <n v="0"/>
    <n v="7411.71"/>
    <n v="3907.3"/>
    <n v="3504.41"/>
    <n v="47.3"/>
    <x v="2"/>
    <n v="4"/>
  </r>
  <r>
    <s v="ORD-10244"/>
    <x v="87"/>
    <s v="Apr 2024"/>
    <x v="1"/>
    <n v="2024"/>
    <x v="2"/>
    <x v="8"/>
    <x v="0"/>
    <x v="3"/>
    <s v="Home &amp; Garden Item 32"/>
    <n v="8"/>
    <n v="147.03"/>
    <n v="0"/>
    <n v="1176.24"/>
    <n v="0"/>
    <n v="1176.24"/>
    <n v="492.78"/>
    <n v="683.46"/>
    <n v="58.1"/>
    <x v="2"/>
    <n v="3"/>
  </r>
  <r>
    <s v="ORD-10245"/>
    <x v="88"/>
    <s v="Apr 2024"/>
    <x v="1"/>
    <n v="2024"/>
    <x v="2"/>
    <x v="2"/>
    <x v="2"/>
    <x v="5"/>
    <s v="Sports Item 34"/>
    <n v="17"/>
    <n v="104.05"/>
    <n v="5"/>
    <n v="1768.85"/>
    <n v="88.44"/>
    <n v="1680.41"/>
    <n v="782.46"/>
    <n v="897.95"/>
    <n v="53.4"/>
    <x v="2"/>
    <n v="2"/>
  </r>
  <r>
    <s v="ORD-10246"/>
    <x v="88"/>
    <s v="Apr 2024"/>
    <x v="1"/>
    <n v="2024"/>
    <x v="0"/>
    <x v="1"/>
    <x v="1"/>
    <x v="1"/>
    <s v="Clothing Item 30"/>
    <n v="15"/>
    <n v="120.85"/>
    <n v="0"/>
    <n v="1812.75"/>
    <n v="0"/>
    <n v="1812.75"/>
    <n v="693.51"/>
    <n v="1119.24"/>
    <n v="61.7"/>
    <x v="2"/>
    <n v="1"/>
  </r>
  <r>
    <s v="ORD-10247"/>
    <x v="89"/>
    <s v="Apr 2024"/>
    <x v="1"/>
    <n v="2024"/>
    <x v="3"/>
    <x v="7"/>
    <x v="0"/>
    <x v="1"/>
    <s v="Clothing Item 12"/>
    <n v="1"/>
    <n v="129.35"/>
    <n v="0"/>
    <n v="129.35"/>
    <n v="0"/>
    <n v="129.35"/>
    <n v="53.12"/>
    <n v="76.23"/>
    <n v="58.9"/>
    <x v="1"/>
    <n v="3"/>
  </r>
  <r>
    <s v="ORD-10248"/>
    <x v="90"/>
    <s v="Apr 2024"/>
    <x v="1"/>
    <n v="2024"/>
    <x v="3"/>
    <x v="4"/>
    <x v="2"/>
    <x v="0"/>
    <s v="Beauty Item 21"/>
    <n v="1"/>
    <n v="14.24"/>
    <n v="20"/>
    <n v="14.24"/>
    <n v="2.85"/>
    <n v="11.39"/>
    <n v="6.92"/>
    <n v="4.47"/>
    <n v="39.200000000000003"/>
    <x v="1"/>
    <n v="4"/>
  </r>
  <r>
    <s v="ORD-10249"/>
    <x v="90"/>
    <s v="Apr 2024"/>
    <x v="1"/>
    <n v="2024"/>
    <x v="0"/>
    <x v="8"/>
    <x v="1"/>
    <x v="5"/>
    <s v="Sports Item 46"/>
    <n v="11"/>
    <n v="358.37"/>
    <n v="20"/>
    <n v="3942.07"/>
    <n v="788.41"/>
    <n v="3153.66"/>
    <n v="1580.95"/>
    <n v="1572.71"/>
    <n v="49.9"/>
    <x v="2"/>
    <n v="5"/>
  </r>
  <r>
    <s v="ORD-10250"/>
    <x v="90"/>
    <s v="Apr 2024"/>
    <x v="1"/>
    <n v="2024"/>
    <x v="4"/>
    <x v="5"/>
    <x v="2"/>
    <x v="0"/>
    <s v="Beauty Item 24"/>
    <n v="4"/>
    <n v="86.38"/>
    <n v="0"/>
    <n v="345.52"/>
    <n v="0"/>
    <n v="345.52"/>
    <n v="164.45"/>
    <n v="181.07"/>
    <n v="52.4"/>
    <x v="2"/>
    <n v="1"/>
  </r>
  <r>
    <s v="ORD-10251"/>
    <x v="90"/>
    <s v="Apr 2024"/>
    <x v="1"/>
    <n v="2024"/>
    <x v="3"/>
    <x v="4"/>
    <x v="3"/>
    <x v="2"/>
    <s v="Food &amp; Beverage Item 34"/>
    <n v="14"/>
    <n v="53.14"/>
    <n v="10"/>
    <n v="743.96"/>
    <n v="74.400000000000006"/>
    <n v="669.56"/>
    <n v="264.39"/>
    <n v="405.17"/>
    <n v="60.5"/>
    <x v="2"/>
    <n v="5"/>
  </r>
  <r>
    <s v="ORD-10252"/>
    <x v="90"/>
    <s v="Apr 2024"/>
    <x v="1"/>
    <n v="2024"/>
    <x v="1"/>
    <x v="6"/>
    <x v="1"/>
    <x v="1"/>
    <s v="Clothing Item 45"/>
    <n v="5"/>
    <n v="70.89"/>
    <n v="20"/>
    <n v="354.45"/>
    <n v="70.89"/>
    <n v="283.56"/>
    <n v="107.44"/>
    <n v="176.12"/>
    <n v="62.1"/>
    <x v="0"/>
    <n v="2"/>
  </r>
  <r>
    <s v="ORD-10253"/>
    <x v="91"/>
    <s v="Apr 2024"/>
    <x v="1"/>
    <n v="2024"/>
    <x v="3"/>
    <x v="6"/>
    <x v="1"/>
    <x v="1"/>
    <s v="Clothing Item 31"/>
    <n v="16"/>
    <n v="60.3"/>
    <n v="0"/>
    <n v="964.8"/>
    <n v="0"/>
    <n v="964.8"/>
    <n v="475.42"/>
    <n v="489.38"/>
    <n v="50.7"/>
    <x v="1"/>
    <n v="1"/>
  </r>
  <r>
    <s v="ORD-10254"/>
    <x v="91"/>
    <s v="Apr 2024"/>
    <x v="1"/>
    <n v="2024"/>
    <x v="3"/>
    <x v="7"/>
    <x v="3"/>
    <x v="1"/>
    <s v="Clothing Item 46"/>
    <n v="3"/>
    <n v="164.36"/>
    <n v="5"/>
    <n v="493.08"/>
    <n v="24.65"/>
    <n v="468.43"/>
    <n v="250.34"/>
    <n v="218.09"/>
    <n v="46.6"/>
    <x v="2"/>
    <n v="5"/>
  </r>
  <r>
    <s v="ORD-10255"/>
    <x v="91"/>
    <s v="Apr 2024"/>
    <x v="1"/>
    <n v="2024"/>
    <x v="4"/>
    <x v="4"/>
    <x v="1"/>
    <x v="4"/>
    <s v="Electronics Item 32"/>
    <n v="8"/>
    <n v="517.01"/>
    <n v="20"/>
    <n v="4136.08"/>
    <n v="827.22"/>
    <n v="3308.86"/>
    <n v="1196.8499999999999"/>
    <n v="2112.0100000000002"/>
    <n v="63.8"/>
    <x v="1"/>
    <n v="4"/>
  </r>
  <r>
    <s v="ORD-10256"/>
    <x v="91"/>
    <s v="Apr 2024"/>
    <x v="1"/>
    <n v="2024"/>
    <x v="0"/>
    <x v="4"/>
    <x v="1"/>
    <x v="0"/>
    <s v="Beauty Item 31"/>
    <n v="13"/>
    <n v="73.5"/>
    <n v="20"/>
    <n v="955.5"/>
    <n v="191.1"/>
    <n v="764.4"/>
    <n v="447.3"/>
    <n v="317.10000000000002"/>
    <n v="41.5"/>
    <x v="1"/>
    <n v="4"/>
  </r>
  <r>
    <s v="ORD-10257"/>
    <x v="91"/>
    <s v="Apr 2024"/>
    <x v="1"/>
    <n v="2024"/>
    <x v="4"/>
    <x v="5"/>
    <x v="3"/>
    <x v="5"/>
    <s v="Sports Item 18"/>
    <n v="3"/>
    <n v="283.23"/>
    <n v="20"/>
    <n v="849.69"/>
    <n v="169.94"/>
    <n v="679.75"/>
    <n v="340.55"/>
    <n v="339.2"/>
    <n v="49.9"/>
    <x v="2"/>
    <n v="5"/>
  </r>
  <r>
    <s v="ORD-10258"/>
    <x v="91"/>
    <s v="Apr 2024"/>
    <x v="1"/>
    <n v="2024"/>
    <x v="4"/>
    <x v="0"/>
    <x v="2"/>
    <x v="0"/>
    <s v="Beauty Item 38"/>
    <n v="4"/>
    <n v="32.130000000000003"/>
    <n v="0"/>
    <n v="128.52000000000001"/>
    <n v="0"/>
    <n v="128.52000000000001"/>
    <n v="49.51"/>
    <n v="79.010000000000005"/>
    <n v="61.5"/>
    <x v="1"/>
    <n v="1"/>
  </r>
  <r>
    <s v="ORD-10259"/>
    <x v="92"/>
    <s v="Apr 2024"/>
    <x v="1"/>
    <n v="2024"/>
    <x v="0"/>
    <x v="5"/>
    <x v="0"/>
    <x v="2"/>
    <s v="Food &amp; Beverage Item 26"/>
    <n v="4"/>
    <n v="36.17"/>
    <n v="0"/>
    <n v="144.68"/>
    <n v="0"/>
    <n v="144.68"/>
    <n v="71.569999999999993"/>
    <n v="73.11"/>
    <n v="50.5"/>
    <x v="1"/>
    <n v="3"/>
  </r>
  <r>
    <s v="ORD-10260"/>
    <x v="92"/>
    <s v="Apr 2024"/>
    <x v="1"/>
    <n v="2024"/>
    <x v="1"/>
    <x v="9"/>
    <x v="1"/>
    <x v="1"/>
    <s v="Clothing Item 41"/>
    <n v="11"/>
    <n v="100.92"/>
    <n v="10"/>
    <n v="1110.1199999999999"/>
    <n v="111.01"/>
    <n v="999.11"/>
    <n v="388.75"/>
    <n v="610.36"/>
    <n v="61.1"/>
    <x v="2"/>
    <n v="2"/>
  </r>
  <r>
    <s v="ORD-10261"/>
    <x v="93"/>
    <s v="Apr 2024"/>
    <x v="1"/>
    <n v="2024"/>
    <x v="0"/>
    <x v="4"/>
    <x v="2"/>
    <x v="5"/>
    <s v="Sports Item 38"/>
    <n v="12"/>
    <n v="152.57"/>
    <n v="5"/>
    <n v="1830.84"/>
    <n v="91.54"/>
    <n v="1739.3"/>
    <n v="923.64"/>
    <n v="815.66"/>
    <n v="46.9"/>
    <x v="0"/>
    <n v="2"/>
  </r>
  <r>
    <s v="ORD-10262"/>
    <x v="94"/>
    <s v="Apr 2024"/>
    <x v="1"/>
    <n v="2024"/>
    <x v="4"/>
    <x v="7"/>
    <x v="2"/>
    <x v="0"/>
    <s v="Beauty Item 42"/>
    <n v="10"/>
    <n v="30.11"/>
    <n v="15"/>
    <n v="301.10000000000002"/>
    <n v="45.16"/>
    <n v="255.94"/>
    <n v="153.12"/>
    <n v="102.82"/>
    <n v="40.200000000000003"/>
    <x v="2"/>
    <n v="4"/>
  </r>
  <r>
    <s v="ORD-10263"/>
    <x v="94"/>
    <s v="Apr 2024"/>
    <x v="1"/>
    <n v="2024"/>
    <x v="0"/>
    <x v="1"/>
    <x v="3"/>
    <x v="1"/>
    <s v="Clothing Item 03"/>
    <n v="5"/>
    <n v="174.37"/>
    <n v="5"/>
    <n v="871.85"/>
    <n v="43.59"/>
    <n v="828.26"/>
    <n v="512.77"/>
    <n v="315.49"/>
    <n v="38.1"/>
    <x v="2"/>
    <n v="1"/>
  </r>
  <r>
    <s v="ORD-10264"/>
    <x v="94"/>
    <s v="Apr 2024"/>
    <x v="1"/>
    <n v="2024"/>
    <x v="3"/>
    <x v="0"/>
    <x v="2"/>
    <x v="1"/>
    <s v="Clothing Item 14"/>
    <n v="13"/>
    <n v="74.069999999999993"/>
    <n v="5"/>
    <n v="962.91"/>
    <n v="48.15"/>
    <n v="914.76"/>
    <n v="532.80999999999995"/>
    <n v="381.95"/>
    <n v="41.8"/>
    <x v="2"/>
    <n v="1"/>
  </r>
  <r>
    <s v="ORD-10265"/>
    <x v="94"/>
    <s v="Apr 2024"/>
    <x v="1"/>
    <n v="2024"/>
    <x v="3"/>
    <x v="9"/>
    <x v="3"/>
    <x v="5"/>
    <s v="Sports Item 15"/>
    <n v="5"/>
    <n v="395.51"/>
    <n v="5"/>
    <n v="1977.55"/>
    <n v="98.88"/>
    <n v="1878.67"/>
    <n v="1023.44"/>
    <n v="855.23"/>
    <n v="45.5"/>
    <x v="0"/>
    <n v="2"/>
  </r>
  <r>
    <s v="ORD-10266"/>
    <x v="94"/>
    <s v="Apr 2024"/>
    <x v="1"/>
    <n v="2024"/>
    <x v="1"/>
    <x v="3"/>
    <x v="2"/>
    <x v="2"/>
    <s v="Food &amp; Beverage Item 13"/>
    <n v="5"/>
    <n v="30.9"/>
    <n v="5"/>
    <n v="154.5"/>
    <n v="7.73"/>
    <n v="146.77000000000001"/>
    <n v="74.36"/>
    <n v="72.41"/>
    <n v="49.3"/>
    <x v="1"/>
    <n v="2"/>
  </r>
  <r>
    <s v="ORD-10267"/>
    <x v="95"/>
    <s v="Apr 2024"/>
    <x v="1"/>
    <n v="2024"/>
    <x v="1"/>
    <x v="7"/>
    <x v="0"/>
    <x v="3"/>
    <s v="Home &amp; Garden Item 29"/>
    <n v="3"/>
    <n v="211.38"/>
    <n v="5"/>
    <n v="634.14"/>
    <n v="31.71"/>
    <n v="602.42999999999995"/>
    <n v="277.79000000000002"/>
    <n v="324.64"/>
    <n v="53.9"/>
    <x v="2"/>
    <n v="2"/>
  </r>
  <r>
    <s v="ORD-10268"/>
    <x v="95"/>
    <s v="Apr 2024"/>
    <x v="1"/>
    <n v="2024"/>
    <x v="0"/>
    <x v="8"/>
    <x v="2"/>
    <x v="5"/>
    <s v="Sports Item 16"/>
    <n v="17"/>
    <n v="310.25"/>
    <n v="0"/>
    <n v="5274.25"/>
    <n v="0"/>
    <n v="5274.25"/>
    <n v="1914.72"/>
    <n v="3359.53"/>
    <n v="63.7"/>
    <x v="2"/>
    <n v="2"/>
  </r>
  <r>
    <s v="ORD-10269"/>
    <x v="95"/>
    <s v="Apr 2024"/>
    <x v="1"/>
    <n v="2024"/>
    <x v="0"/>
    <x v="0"/>
    <x v="2"/>
    <x v="3"/>
    <s v="Home &amp; Garden Item 26"/>
    <n v="19"/>
    <n v="267.19"/>
    <n v="0"/>
    <n v="5076.6099999999997"/>
    <n v="0"/>
    <n v="5076.6099999999997"/>
    <n v="2583.7199999999998"/>
    <n v="2492.89"/>
    <n v="49.1"/>
    <x v="2"/>
    <n v="5"/>
  </r>
  <r>
    <s v="ORD-10270"/>
    <x v="96"/>
    <s v="Apr 2024"/>
    <x v="1"/>
    <n v="2024"/>
    <x v="0"/>
    <x v="8"/>
    <x v="2"/>
    <x v="2"/>
    <s v="Food &amp; Beverage Item 14"/>
    <n v="1"/>
    <n v="12.96"/>
    <n v="10"/>
    <n v="12.96"/>
    <n v="1.3"/>
    <n v="11.66"/>
    <n v="4.88"/>
    <n v="6.78"/>
    <n v="58.1"/>
    <x v="0"/>
    <n v="5"/>
  </r>
  <r>
    <s v="ORD-10271"/>
    <x v="96"/>
    <s v="Apr 2024"/>
    <x v="1"/>
    <n v="2024"/>
    <x v="2"/>
    <x v="6"/>
    <x v="3"/>
    <x v="4"/>
    <s v="Electronics Item 20"/>
    <n v="20"/>
    <n v="328"/>
    <n v="0"/>
    <n v="6560"/>
    <n v="0"/>
    <n v="6560"/>
    <n v="3874.93"/>
    <n v="2685.07"/>
    <n v="40.9"/>
    <x v="2"/>
    <n v="5"/>
  </r>
  <r>
    <s v="ORD-10272"/>
    <x v="97"/>
    <s v="Apr 2024"/>
    <x v="1"/>
    <n v="2024"/>
    <x v="4"/>
    <x v="3"/>
    <x v="1"/>
    <x v="5"/>
    <s v="Sports Item 28"/>
    <n v="6"/>
    <n v="70.95"/>
    <n v="15"/>
    <n v="425.7"/>
    <n v="63.85"/>
    <n v="361.85"/>
    <n v="212.36"/>
    <n v="149.49"/>
    <n v="41.3"/>
    <x v="2"/>
    <n v="5"/>
  </r>
  <r>
    <s v="ORD-10273"/>
    <x v="98"/>
    <s v="Apr 2024"/>
    <x v="1"/>
    <n v="2024"/>
    <x v="4"/>
    <x v="6"/>
    <x v="3"/>
    <x v="3"/>
    <s v="Home &amp; Garden Item 25"/>
    <n v="15"/>
    <n v="235.81"/>
    <n v="0"/>
    <n v="3537.15"/>
    <n v="0"/>
    <n v="3537.15"/>
    <n v="1642.55"/>
    <n v="1894.6"/>
    <n v="53.6"/>
    <x v="1"/>
    <n v="3"/>
  </r>
  <r>
    <s v="ORD-10274"/>
    <x v="99"/>
    <s v="Apr 2024"/>
    <x v="1"/>
    <n v="2024"/>
    <x v="1"/>
    <x v="2"/>
    <x v="0"/>
    <x v="2"/>
    <s v="Food &amp; Beverage Item 37"/>
    <n v="12"/>
    <n v="15.57"/>
    <n v="0"/>
    <n v="186.84"/>
    <n v="0"/>
    <n v="186.84"/>
    <n v="98.41"/>
    <n v="88.43"/>
    <n v="47.3"/>
    <x v="2"/>
    <n v="4"/>
  </r>
  <r>
    <s v="ORD-10275"/>
    <x v="99"/>
    <s v="Apr 2024"/>
    <x v="1"/>
    <n v="2024"/>
    <x v="3"/>
    <x v="1"/>
    <x v="3"/>
    <x v="0"/>
    <s v="Beauty Item 11"/>
    <n v="7"/>
    <n v="17.079999999999998"/>
    <n v="0"/>
    <n v="119.56"/>
    <n v="0"/>
    <n v="119.56"/>
    <n v="68.44"/>
    <n v="51.12"/>
    <n v="42.8"/>
    <x v="0"/>
    <n v="2"/>
  </r>
  <r>
    <s v="ORD-10276"/>
    <x v="99"/>
    <s v="Apr 2024"/>
    <x v="1"/>
    <n v="2024"/>
    <x v="3"/>
    <x v="6"/>
    <x v="1"/>
    <x v="1"/>
    <s v="Clothing Item 24"/>
    <n v="5"/>
    <n v="189.9"/>
    <n v="20"/>
    <n v="949.5"/>
    <n v="189.9"/>
    <n v="759.6"/>
    <n v="439.4"/>
    <n v="320.2"/>
    <n v="42.2"/>
    <x v="2"/>
    <n v="3"/>
  </r>
  <r>
    <s v="ORD-10277"/>
    <x v="99"/>
    <s v="Apr 2024"/>
    <x v="1"/>
    <n v="2024"/>
    <x v="3"/>
    <x v="9"/>
    <x v="0"/>
    <x v="4"/>
    <s v="Electronics Item 17"/>
    <n v="14"/>
    <n v="1043.79"/>
    <n v="20"/>
    <n v="14613.06"/>
    <n v="2922.61"/>
    <n v="11690.45"/>
    <n v="6535.11"/>
    <n v="5155.34"/>
    <n v="44.1"/>
    <x v="1"/>
    <n v="3"/>
  </r>
  <r>
    <s v="ORD-10278"/>
    <x v="100"/>
    <s v="Apr 2024"/>
    <x v="1"/>
    <n v="2024"/>
    <x v="3"/>
    <x v="7"/>
    <x v="1"/>
    <x v="5"/>
    <s v="Sports Item 36"/>
    <n v="20"/>
    <n v="181.8"/>
    <n v="10"/>
    <n v="3636"/>
    <n v="363.6"/>
    <n v="3272.4"/>
    <n v="1241.27"/>
    <n v="2031.13"/>
    <n v="62.1"/>
    <x v="1"/>
    <n v="3"/>
  </r>
  <r>
    <s v="ORD-10279"/>
    <x v="100"/>
    <s v="Apr 2024"/>
    <x v="1"/>
    <n v="2024"/>
    <x v="4"/>
    <x v="3"/>
    <x v="1"/>
    <x v="3"/>
    <s v="Home &amp; Garden Item 06"/>
    <n v="15"/>
    <n v="482.09"/>
    <n v="0"/>
    <n v="7231.35"/>
    <n v="0"/>
    <n v="7231.35"/>
    <n v="2821.42"/>
    <n v="4409.93"/>
    <n v="61"/>
    <x v="2"/>
    <n v="5"/>
  </r>
  <r>
    <s v="ORD-10280"/>
    <x v="100"/>
    <s v="Apr 2024"/>
    <x v="1"/>
    <n v="2024"/>
    <x v="2"/>
    <x v="9"/>
    <x v="0"/>
    <x v="0"/>
    <s v="Beauty Item 09"/>
    <n v="7"/>
    <n v="136.32"/>
    <n v="0"/>
    <n v="954.24"/>
    <n v="0"/>
    <n v="954.24"/>
    <n v="470.58"/>
    <n v="483.66"/>
    <n v="50.7"/>
    <x v="2"/>
    <n v="4"/>
  </r>
  <r>
    <s v="ORD-10281"/>
    <x v="100"/>
    <s v="Apr 2024"/>
    <x v="1"/>
    <n v="2024"/>
    <x v="3"/>
    <x v="7"/>
    <x v="1"/>
    <x v="3"/>
    <s v="Home &amp; Garden Item 49"/>
    <n v="3"/>
    <n v="410.47"/>
    <n v="15"/>
    <n v="1231.4100000000001"/>
    <n v="184.71"/>
    <n v="1046.7"/>
    <n v="439.36"/>
    <n v="607.34"/>
    <n v="58"/>
    <x v="2"/>
    <n v="1"/>
  </r>
  <r>
    <s v="ORD-10282"/>
    <x v="100"/>
    <s v="Apr 2024"/>
    <x v="1"/>
    <n v="2024"/>
    <x v="1"/>
    <x v="1"/>
    <x v="3"/>
    <x v="2"/>
    <s v="Food &amp; Beverage Item 06"/>
    <n v="4"/>
    <n v="75.03"/>
    <n v="0"/>
    <n v="300.12"/>
    <n v="0"/>
    <n v="300.12"/>
    <n v="182.39"/>
    <n v="117.73"/>
    <n v="39.200000000000003"/>
    <x v="2"/>
    <n v="4"/>
  </r>
  <r>
    <s v="ORD-10283"/>
    <x v="100"/>
    <s v="Apr 2024"/>
    <x v="1"/>
    <n v="2024"/>
    <x v="0"/>
    <x v="0"/>
    <x v="1"/>
    <x v="5"/>
    <s v="Sports Item 19"/>
    <n v="5"/>
    <n v="295.42"/>
    <n v="15"/>
    <n v="1477.1"/>
    <n v="221.56"/>
    <n v="1255.54"/>
    <n v="546.13"/>
    <n v="709.41"/>
    <n v="56.5"/>
    <x v="2"/>
    <n v="2"/>
  </r>
  <r>
    <s v="ORD-10284"/>
    <x v="101"/>
    <s v="Apr 2024"/>
    <x v="1"/>
    <n v="2024"/>
    <x v="0"/>
    <x v="9"/>
    <x v="2"/>
    <x v="2"/>
    <s v="Food &amp; Beverage Item 29"/>
    <n v="4"/>
    <n v="19.239999999999998"/>
    <n v="15"/>
    <n v="76.959999999999994"/>
    <n v="11.54"/>
    <n v="65.42"/>
    <n v="40.1"/>
    <n v="25.32"/>
    <n v="38.700000000000003"/>
    <x v="2"/>
    <n v="2"/>
  </r>
  <r>
    <s v="ORD-10285"/>
    <x v="101"/>
    <s v="Apr 2024"/>
    <x v="1"/>
    <n v="2024"/>
    <x v="1"/>
    <x v="4"/>
    <x v="3"/>
    <x v="3"/>
    <s v="Home &amp; Garden Item 34"/>
    <n v="19"/>
    <n v="96.48"/>
    <n v="0"/>
    <n v="1833.12"/>
    <n v="0"/>
    <n v="1833.12"/>
    <n v="866.32"/>
    <n v="966.8"/>
    <n v="52.7"/>
    <x v="2"/>
    <n v="5"/>
  </r>
  <r>
    <s v="ORD-10286"/>
    <x v="101"/>
    <s v="Apr 2024"/>
    <x v="1"/>
    <n v="2024"/>
    <x v="1"/>
    <x v="6"/>
    <x v="1"/>
    <x v="5"/>
    <s v="Sports Item 23"/>
    <n v="13"/>
    <n v="398.49"/>
    <n v="0"/>
    <n v="5180.37"/>
    <n v="0"/>
    <n v="5180.37"/>
    <n v="2106.89"/>
    <n v="3073.48"/>
    <n v="59.3"/>
    <x v="0"/>
    <n v="5"/>
  </r>
  <r>
    <s v="ORD-10287"/>
    <x v="101"/>
    <s v="Apr 2024"/>
    <x v="1"/>
    <n v="2024"/>
    <x v="1"/>
    <x v="7"/>
    <x v="2"/>
    <x v="3"/>
    <s v="Home &amp; Garden Item 15"/>
    <n v="12"/>
    <n v="244.07"/>
    <n v="15"/>
    <n v="2928.84"/>
    <n v="439.33"/>
    <n v="2489.5100000000002"/>
    <n v="1400.96"/>
    <n v="1088.55"/>
    <n v="43.7"/>
    <x v="2"/>
    <n v="1"/>
  </r>
  <r>
    <s v="ORD-10288"/>
    <x v="101"/>
    <s v="Apr 2024"/>
    <x v="1"/>
    <n v="2024"/>
    <x v="2"/>
    <x v="9"/>
    <x v="3"/>
    <x v="1"/>
    <s v="Clothing Item 38"/>
    <n v="14"/>
    <n v="177.63"/>
    <n v="0"/>
    <n v="2486.8200000000002"/>
    <n v="0"/>
    <n v="2486.8200000000002"/>
    <n v="1459.33"/>
    <n v="1027.49"/>
    <n v="41.3"/>
    <x v="2"/>
    <n v="2"/>
  </r>
  <r>
    <s v="ORD-10289"/>
    <x v="102"/>
    <s v="Apr 2024"/>
    <x v="1"/>
    <n v="2024"/>
    <x v="0"/>
    <x v="9"/>
    <x v="0"/>
    <x v="5"/>
    <s v="Sports Item 03"/>
    <n v="11"/>
    <n v="211.51"/>
    <n v="0"/>
    <n v="2326.61"/>
    <n v="0"/>
    <n v="2326.61"/>
    <n v="1217.74"/>
    <n v="1108.8699999999999"/>
    <n v="47.7"/>
    <x v="1"/>
    <n v="5"/>
  </r>
  <r>
    <s v="ORD-10290"/>
    <x v="102"/>
    <s v="Apr 2024"/>
    <x v="1"/>
    <n v="2024"/>
    <x v="2"/>
    <x v="5"/>
    <x v="3"/>
    <x v="5"/>
    <s v="Sports Item 30"/>
    <n v="5"/>
    <n v="58.77"/>
    <n v="0"/>
    <n v="293.85000000000002"/>
    <n v="0"/>
    <n v="293.85000000000002"/>
    <n v="113.23"/>
    <n v="180.62"/>
    <n v="61.5"/>
    <x v="1"/>
    <n v="4"/>
  </r>
  <r>
    <s v="ORD-10291"/>
    <x v="103"/>
    <s v="Apr 2024"/>
    <x v="1"/>
    <n v="2024"/>
    <x v="3"/>
    <x v="3"/>
    <x v="0"/>
    <x v="4"/>
    <s v="Electronics Item 33"/>
    <n v="8"/>
    <n v="502.23"/>
    <n v="0"/>
    <n v="4017.84"/>
    <n v="0"/>
    <n v="4017.84"/>
    <n v="1414.92"/>
    <n v="2602.92"/>
    <n v="64.8"/>
    <x v="2"/>
    <n v="1"/>
  </r>
  <r>
    <s v="ORD-10292"/>
    <x v="103"/>
    <s v="Apr 2024"/>
    <x v="1"/>
    <n v="2024"/>
    <x v="0"/>
    <x v="1"/>
    <x v="3"/>
    <x v="1"/>
    <s v="Clothing Item 40"/>
    <n v="9"/>
    <n v="99.59"/>
    <n v="5"/>
    <n v="896.31"/>
    <n v="44.82"/>
    <n v="851.49"/>
    <n v="465.22"/>
    <n v="386.27"/>
    <n v="45.4"/>
    <x v="2"/>
    <n v="1"/>
  </r>
  <r>
    <s v="ORD-10293"/>
    <x v="103"/>
    <s v="Apr 2024"/>
    <x v="1"/>
    <n v="2024"/>
    <x v="1"/>
    <x v="3"/>
    <x v="2"/>
    <x v="5"/>
    <s v="Sports Item 22"/>
    <n v="3"/>
    <n v="115.27"/>
    <n v="10"/>
    <n v="345.81"/>
    <n v="34.58"/>
    <n v="311.23"/>
    <n v="173.15"/>
    <n v="138.08000000000001"/>
    <n v="44.4"/>
    <x v="2"/>
    <n v="2"/>
  </r>
  <r>
    <s v="ORD-10294"/>
    <x v="104"/>
    <s v="Apr 2024"/>
    <x v="1"/>
    <n v="2024"/>
    <x v="2"/>
    <x v="2"/>
    <x v="0"/>
    <x v="0"/>
    <s v="Beauty Item 28"/>
    <n v="8"/>
    <n v="91.67"/>
    <n v="10"/>
    <n v="733.36"/>
    <n v="73.34"/>
    <n v="660.02"/>
    <n v="293.56"/>
    <n v="366.46"/>
    <n v="55.5"/>
    <x v="2"/>
    <n v="3"/>
  </r>
  <r>
    <s v="ORD-10295"/>
    <x v="104"/>
    <s v="Apr 2024"/>
    <x v="1"/>
    <n v="2024"/>
    <x v="4"/>
    <x v="5"/>
    <x v="3"/>
    <x v="3"/>
    <s v="Home &amp; Garden Item 29"/>
    <n v="18"/>
    <n v="43.36"/>
    <n v="0"/>
    <n v="780.48"/>
    <n v="0"/>
    <n v="780.48"/>
    <n v="357.99"/>
    <n v="422.49"/>
    <n v="54.1"/>
    <x v="1"/>
    <n v="5"/>
  </r>
  <r>
    <s v="ORD-10296"/>
    <x v="104"/>
    <s v="Apr 2024"/>
    <x v="1"/>
    <n v="2024"/>
    <x v="0"/>
    <x v="9"/>
    <x v="0"/>
    <x v="0"/>
    <s v="Beauty Item 30"/>
    <n v="20"/>
    <n v="49.39"/>
    <n v="0"/>
    <n v="987.8"/>
    <n v="0"/>
    <n v="987.8"/>
    <n v="391.6"/>
    <n v="596.20000000000005"/>
    <n v="60.4"/>
    <x v="2"/>
    <n v="1"/>
  </r>
  <r>
    <s v="ORD-10297"/>
    <x v="104"/>
    <s v="Apr 2024"/>
    <x v="1"/>
    <n v="2024"/>
    <x v="1"/>
    <x v="2"/>
    <x v="1"/>
    <x v="3"/>
    <s v="Home &amp; Garden Item 28"/>
    <n v="20"/>
    <n v="306.81"/>
    <n v="0"/>
    <n v="6136.2"/>
    <n v="0"/>
    <n v="6136.2"/>
    <n v="3347.13"/>
    <n v="2789.07"/>
    <n v="45.5"/>
    <x v="2"/>
    <n v="4"/>
  </r>
  <r>
    <s v="ORD-10298"/>
    <x v="104"/>
    <s v="Apr 2024"/>
    <x v="1"/>
    <n v="2024"/>
    <x v="1"/>
    <x v="3"/>
    <x v="3"/>
    <x v="2"/>
    <s v="Food &amp; Beverage Item 27"/>
    <n v="20"/>
    <n v="68.209999999999994"/>
    <n v="20"/>
    <n v="1364.2"/>
    <n v="272.83999999999997"/>
    <n v="1091.3599999999999"/>
    <n v="465.02"/>
    <n v="626.34"/>
    <n v="57.4"/>
    <x v="2"/>
    <n v="1"/>
  </r>
  <r>
    <s v="ORD-10299"/>
    <x v="104"/>
    <s v="Apr 2024"/>
    <x v="1"/>
    <n v="2024"/>
    <x v="3"/>
    <x v="1"/>
    <x v="3"/>
    <x v="3"/>
    <s v="Home &amp; Garden Item 24"/>
    <n v="10"/>
    <n v="342.81"/>
    <n v="0"/>
    <n v="3428.1"/>
    <n v="0"/>
    <n v="3428.1"/>
    <n v="2079.12"/>
    <n v="1348.98"/>
    <n v="39.4"/>
    <x v="0"/>
    <n v="4"/>
  </r>
  <r>
    <s v="ORD-10300"/>
    <x v="104"/>
    <s v="Apr 2024"/>
    <x v="1"/>
    <n v="2024"/>
    <x v="2"/>
    <x v="4"/>
    <x v="2"/>
    <x v="4"/>
    <s v="Electronics Item 32"/>
    <n v="1"/>
    <n v="378.61"/>
    <n v="0"/>
    <n v="378.61"/>
    <n v="0"/>
    <n v="378.61"/>
    <n v="180.62"/>
    <n v="197.99"/>
    <n v="52.3"/>
    <x v="2"/>
    <n v="3"/>
  </r>
  <r>
    <s v="ORD-10301"/>
    <x v="105"/>
    <s v="Apr 2024"/>
    <x v="1"/>
    <n v="2024"/>
    <x v="3"/>
    <x v="6"/>
    <x v="2"/>
    <x v="2"/>
    <s v="Food &amp; Beverage Item 21"/>
    <n v="10"/>
    <n v="5.61"/>
    <n v="0"/>
    <n v="56.1"/>
    <n v="0"/>
    <n v="56.1"/>
    <n v="25.79"/>
    <n v="30.31"/>
    <n v="54"/>
    <x v="0"/>
    <n v="2"/>
  </r>
  <r>
    <s v="ORD-10302"/>
    <x v="105"/>
    <s v="Apr 2024"/>
    <x v="1"/>
    <n v="2024"/>
    <x v="4"/>
    <x v="2"/>
    <x v="2"/>
    <x v="5"/>
    <s v="Sports Item 18"/>
    <n v="7"/>
    <n v="65.31"/>
    <n v="5"/>
    <n v="457.17"/>
    <n v="22.86"/>
    <n v="434.31"/>
    <n v="187.91"/>
    <n v="246.4"/>
    <n v="56.7"/>
    <x v="1"/>
    <n v="3"/>
  </r>
  <r>
    <s v="ORD-10303"/>
    <x v="106"/>
    <s v="Apr 2024"/>
    <x v="1"/>
    <n v="2024"/>
    <x v="4"/>
    <x v="2"/>
    <x v="0"/>
    <x v="3"/>
    <s v="Home &amp; Garden Item 25"/>
    <n v="17"/>
    <n v="84.29"/>
    <n v="15"/>
    <n v="1432.93"/>
    <n v="214.94"/>
    <n v="1217.99"/>
    <n v="674.99"/>
    <n v="543"/>
    <n v="44.6"/>
    <x v="2"/>
    <n v="2"/>
  </r>
  <r>
    <s v="ORD-10304"/>
    <x v="106"/>
    <s v="Apr 2024"/>
    <x v="1"/>
    <n v="2024"/>
    <x v="3"/>
    <x v="9"/>
    <x v="3"/>
    <x v="4"/>
    <s v="Electronics Item 02"/>
    <n v="20"/>
    <n v="354.14"/>
    <n v="10"/>
    <n v="7082.8"/>
    <n v="708.28"/>
    <n v="6374.52"/>
    <n v="3674.86"/>
    <n v="2699.66"/>
    <n v="42.4"/>
    <x v="1"/>
    <n v="1"/>
  </r>
  <r>
    <s v="ORD-10305"/>
    <x v="106"/>
    <s v="Apr 2024"/>
    <x v="1"/>
    <n v="2024"/>
    <x v="0"/>
    <x v="9"/>
    <x v="0"/>
    <x v="0"/>
    <s v="Beauty Item 12"/>
    <n v="17"/>
    <n v="61.21"/>
    <n v="10"/>
    <n v="1040.57"/>
    <n v="104.06"/>
    <n v="936.51"/>
    <n v="443.88"/>
    <n v="492.63"/>
    <n v="52.6"/>
    <x v="2"/>
    <n v="3"/>
  </r>
  <r>
    <s v="ORD-10306"/>
    <x v="107"/>
    <s v="Apr 2024"/>
    <x v="1"/>
    <n v="2024"/>
    <x v="0"/>
    <x v="8"/>
    <x v="3"/>
    <x v="2"/>
    <s v="Food &amp; Beverage Item 29"/>
    <n v="7"/>
    <n v="35.24"/>
    <n v="10"/>
    <n v="246.68"/>
    <n v="24.67"/>
    <n v="222.01"/>
    <n v="129.91"/>
    <n v="92.1"/>
    <n v="41.5"/>
    <x v="2"/>
    <n v="5"/>
  </r>
  <r>
    <s v="ORD-10307"/>
    <x v="107"/>
    <s v="Apr 2024"/>
    <x v="1"/>
    <n v="2024"/>
    <x v="3"/>
    <x v="3"/>
    <x v="2"/>
    <x v="2"/>
    <s v="Food &amp; Beverage Item 15"/>
    <n v="13"/>
    <n v="8.39"/>
    <n v="0"/>
    <n v="109.07"/>
    <n v="0"/>
    <n v="109.07"/>
    <n v="53.96"/>
    <n v="55.11"/>
    <n v="50.5"/>
    <x v="2"/>
    <n v="3"/>
  </r>
  <r>
    <s v="ORD-10308"/>
    <x v="107"/>
    <s v="Apr 2024"/>
    <x v="1"/>
    <n v="2024"/>
    <x v="3"/>
    <x v="0"/>
    <x v="0"/>
    <x v="4"/>
    <s v="Electronics Item 17"/>
    <n v="10"/>
    <n v="108.83"/>
    <n v="5"/>
    <n v="1088.3"/>
    <n v="54.41"/>
    <n v="1033.8900000000001"/>
    <n v="476.69"/>
    <n v="557.20000000000005"/>
    <n v="53.9"/>
    <x v="2"/>
    <n v="3"/>
  </r>
  <r>
    <s v="ORD-10309"/>
    <x v="108"/>
    <s v="Apr 2024"/>
    <x v="1"/>
    <n v="2024"/>
    <x v="0"/>
    <x v="8"/>
    <x v="1"/>
    <x v="0"/>
    <s v="Beauty Item 42"/>
    <n v="2"/>
    <n v="88.65"/>
    <n v="15"/>
    <n v="177.3"/>
    <n v="26.6"/>
    <n v="150.69999999999999"/>
    <n v="77.83"/>
    <n v="72.87"/>
    <n v="48.4"/>
    <x v="1"/>
    <n v="1"/>
  </r>
  <r>
    <s v="ORD-10310"/>
    <x v="108"/>
    <s v="Apr 2024"/>
    <x v="1"/>
    <n v="2024"/>
    <x v="2"/>
    <x v="7"/>
    <x v="1"/>
    <x v="2"/>
    <s v="Food &amp; Beverage Item 05"/>
    <n v="8"/>
    <n v="32.19"/>
    <n v="0"/>
    <n v="257.52"/>
    <n v="0"/>
    <n v="257.52"/>
    <n v="109.74"/>
    <n v="147.78"/>
    <n v="57.4"/>
    <x v="1"/>
    <n v="1"/>
  </r>
  <r>
    <s v="ORD-10311"/>
    <x v="108"/>
    <s v="Apr 2024"/>
    <x v="1"/>
    <n v="2024"/>
    <x v="3"/>
    <x v="1"/>
    <x v="3"/>
    <x v="5"/>
    <s v="Sports Item 23"/>
    <n v="16"/>
    <n v="133.22999999999999"/>
    <n v="0"/>
    <n v="2131.6799999999998"/>
    <n v="0"/>
    <n v="2131.6799999999998"/>
    <n v="942.19"/>
    <n v="1189.49"/>
    <n v="55.8"/>
    <x v="2"/>
    <n v="2"/>
  </r>
  <r>
    <s v="ORD-10312"/>
    <x v="109"/>
    <s v="Apr 2024"/>
    <x v="1"/>
    <n v="2024"/>
    <x v="1"/>
    <x v="9"/>
    <x v="0"/>
    <x v="3"/>
    <s v="Home &amp; Garden Item 06"/>
    <n v="13"/>
    <n v="205.45"/>
    <n v="5"/>
    <n v="2670.85"/>
    <n v="133.54"/>
    <n v="2537.31"/>
    <n v="1150.18"/>
    <n v="1387.13"/>
    <n v="54.7"/>
    <x v="0"/>
    <n v="4"/>
  </r>
  <r>
    <s v="ORD-10313"/>
    <x v="109"/>
    <s v="Apr 2024"/>
    <x v="1"/>
    <n v="2024"/>
    <x v="2"/>
    <x v="9"/>
    <x v="0"/>
    <x v="1"/>
    <s v="Clothing Item 19"/>
    <n v="4"/>
    <n v="98.32"/>
    <n v="0"/>
    <n v="393.28"/>
    <n v="0"/>
    <n v="393.28"/>
    <n v="220.89"/>
    <n v="172.39"/>
    <n v="43.8"/>
    <x v="2"/>
    <n v="3"/>
  </r>
  <r>
    <s v="ORD-10314"/>
    <x v="109"/>
    <s v="Apr 2024"/>
    <x v="1"/>
    <n v="2024"/>
    <x v="3"/>
    <x v="4"/>
    <x v="3"/>
    <x v="0"/>
    <s v="Beauty Item 33"/>
    <n v="8"/>
    <n v="86.98"/>
    <n v="20"/>
    <n v="695.84"/>
    <n v="139.16999999999999"/>
    <n v="556.66999999999996"/>
    <n v="317.70999999999998"/>
    <n v="238.96"/>
    <n v="42.9"/>
    <x v="1"/>
    <n v="4"/>
  </r>
  <r>
    <s v="ORD-10315"/>
    <x v="110"/>
    <s v="Apr 2024"/>
    <x v="1"/>
    <n v="2024"/>
    <x v="1"/>
    <x v="4"/>
    <x v="3"/>
    <x v="3"/>
    <s v="Home &amp; Garden Item 33"/>
    <n v="16"/>
    <n v="416.15"/>
    <n v="0"/>
    <n v="6658.4"/>
    <n v="0"/>
    <n v="6658.4"/>
    <n v="4038.32"/>
    <n v="2620.08"/>
    <n v="39.299999999999997"/>
    <x v="2"/>
    <n v="3"/>
  </r>
  <r>
    <s v="ORD-10316"/>
    <x v="110"/>
    <s v="Apr 2024"/>
    <x v="1"/>
    <n v="2024"/>
    <x v="1"/>
    <x v="3"/>
    <x v="2"/>
    <x v="1"/>
    <s v="Clothing Item 35"/>
    <n v="20"/>
    <n v="130.30000000000001"/>
    <n v="0"/>
    <n v="2606"/>
    <n v="0"/>
    <n v="2606"/>
    <n v="1427.53"/>
    <n v="1178.47"/>
    <n v="45.2"/>
    <x v="1"/>
    <n v="4"/>
  </r>
  <r>
    <s v="ORD-10317"/>
    <x v="110"/>
    <s v="Apr 2024"/>
    <x v="1"/>
    <n v="2024"/>
    <x v="3"/>
    <x v="3"/>
    <x v="3"/>
    <x v="2"/>
    <s v="Food &amp; Beverage Item 42"/>
    <n v="3"/>
    <n v="50.83"/>
    <n v="20"/>
    <n v="152.49"/>
    <n v="30.5"/>
    <n v="121.99"/>
    <n v="70.06"/>
    <n v="51.93"/>
    <n v="42.6"/>
    <x v="1"/>
    <n v="2"/>
  </r>
  <r>
    <s v="ORD-10318"/>
    <x v="111"/>
    <s v="Apr 2024"/>
    <x v="1"/>
    <n v="2024"/>
    <x v="3"/>
    <x v="1"/>
    <x v="2"/>
    <x v="1"/>
    <s v="Clothing Item 06"/>
    <n v="17"/>
    <n v="38.799999999999997"/>
    <n v="5"/>
    <n v="659.6"/>
    <n v="32.979999999999997"/>
    <n v="626.62"/>
    <n v="303.27"/>
    <n v="323.35000000000002"/>
    <n v="51.6"/>
    <x v="2"/>
    <n v="1"/>
  </r>
  <r>
    <s v="ORD-10319"/>
    <x v="111"/>
    <s v="Apr 2024"/>
    <x v="1"/>
    <n v="2024"/>
    <x v="3"/>
    <x v="4"/>
    <x v="0"/>
    <x v="0"/>
    <s v="Beauty Item 18"/>
    <n v="1"/>
    <n v="23.54"/>
    <n v="0"/>
    <n v="23.54"/>
    <n v="0"/>
    <n v="23.54"/>
    <n v="13.18"/>
    <n v="10.36"/>
    <n v="44"/>
    <x v="1"/>
    <n v="5"/>
  </r>
  <r>
    <s v="ORD-10320"/>
    <x v="111"/>
    <s v="Apr 2024"/>
    <x v="1"/>
    <n v="2024"/>
    <x v="1"/>
    <x v="3"/>
    <x v="1"/>
    <x v="3"/>
    <s v="Home &amp; Garden Item 15"/>
    <n v="12"/>
    <n v="199.14"/>
    <n v="0"/>
    <n v="2389.6799999999998"/>
    <n v="0"/>
    <n v="2389.6799999999998"/>
    <n v="952.38"/>
    <n v="1437.3"/>
    <n v="60.1"/>
    <x v="2"/>
    <n v="4"/>
  </r>
  <r>
    <s v="ORD-10321"/>
    <x v="112"/>
    <s v="Apr 2024"/>
    <x v="1"/>
    <n v="2024"/>
    <x v="4"/>
    <x v="3"/>
    <x v="1"/>
    <x v="2"/>
    <s v="Food &amp; Beverage Item 07"/>
    <n v="11"/>
    <n v="79.010000000000005"/>
    <n v="0"/>
    <n v="869.11"/>
    <n v="0"/>
    <n v="869.11"/>
    <n v="360.1"/>
    <n v="509.01"/>
    <n v="58.6"/>
    <x v="2"/>
    <n v="1"/>
  </r>
  <r>
    <s v="ORD-10322"/>
    <x v="112"/>
    <s v="Apr 2024"/>
    <x v="1"/>
    <n v="2024"/>
    <x v="3"/>
    <x v="8"/>
    <x v="2"/>
    <x v="2"/>
    <s v="Food &amp; Beverage Item 08"/>
    <n v="5"/>
    <n v="46.84"/>
    <n v="15"/>
    <n v="234.2"/>
    <n v="35.130000000000003"/>
    <n v="199.07"/>
    <n v="93.6"/>
    <n v="105.47"/>
    <n v="53"/>
    <x v="2"/>
    <n v="3"/>
  </r>
  <r>
    <s v="ORD-10323"/>
    <x v="112"/>
    <s v="Apr 2024"/>
    <x v="1"/>
    <n v="2024"/>
    <x v="3"/>
    <x v="4"/>
    <x v="3"/>
    <x v="2"/>
    <s v="Food &amp; Beverage Item 05"/>
    <n v="13"/>
    <n v="32.42"/>
    <n v="0"/>
    <n v="421.46"/>
    <n v="0"/>
    <n v="421.46"/>
    <n v="190.3"/>
    <n v="231.16"/>
    <n v="54.8"/>
    <x v="2"/>
    <n v="3"/>
  </r>
  <r>
    <s v="ORD-10324"/>
    <x v="113"/>
    <s v="May 2024"/>
    <x v="1"/>
    <n v="2024"/>
    <x v="2"/>
    <x v="6"/>
    <x v="3"/>
    <x v="2"/>
    <s v="Food &amp; Beverage Item 24"/>
    <n v="19"/>
    <n v="15.82"/>
    <n v="0"/>
    <n v="300.58"/>
    <n v="0"/>
    <n v="300.58"/>
    <n v="154.85"/>
    <n v="145.72999999999999"/>
    <n v="48.5"/>
    <x v="2"/>
    <n v="4"/>
  </r>
  <r>
    <s v="ORD-10325"/>
    <x v="113"/>
    <s v="May 2024"/>
    <x v="1"/>
    <n v="2024"/>
    <x v="3"/>
    <x v="9"/>
    <x v="1"/>
    <x v="1"/>
    <s v="Clothing Item 03"/>
    <n v="14"/>
    <n v="126.46"/>
    <n v="15"/>
    <n v="1770.44"/>
    <n v="265.57"/>
    <n v="1504.87"/>
    <n v="841.4"/>
    <n v="663.47"/>
    <n v="44.1"/>
    <x v="2"/>
    <n v="4"/>
  </r>
  <r>
    <s v="ORD-10326"/>
    <x v="113"/>
    <s v="May 2024"/>
    <x v="1"/>
    <n v="2024"/>
    <x v="2"/>
    <x v="1"/>
    <x v="1"/>
    <x v="2"/>
    <s v="Food &amp; Beverage Item 35"/>
    <n v="12"/>
    <n v="35.1"/>
    <n v="0"/>
    <n v="421.2"/>
    <n v="0"/>
    <n v="421.2"/>
    <n v="236.73"/>
    <n v="184.47"/>
    <n v="43.8"/>
    <x v="1"/>
    <n v="5"/>
  </r>
  <r>
    <s v="ORD-10327"/>
    <x v="114"/>
    <s v="May 2024"/>
    <x v="1"/>
    <n v="2024"/>
    <x v="2"/>
    <x v="2"/>
    <x v="2"/>
    <x v="4"/>
    <s v="Electronics Item 13"/>
    <n v="18"/>
    <n v="96.29"/>
    <n v="10"/>
    <n v="1733.22"/>
    <n v="173.32"/>
    <n v="1559.9"/>
    <n v="621.19000000000005"/>
    <n v="938.71"/>
    <n v="60.2"/>
    <x v="0"/>
    <n v="2"/>
  </r>
  <r>
    <s v="ORD-10328"/>
    <x v="114"/>
    <s v="May 2024"/>
    <x v="1"/>
    <n v="2024"/>
    <x v="4"/>
    <x v="4"/>
    <x v="2"/>
    <x v="2"/>
    <s v="Food &amp; Beverage Item 22"/>
    <n v="6"/>
    <n v="7.92"/>
    <n v="10"/>
    <n v="47.52"/>
    <n v="4.75"/>
    <n v="42.77"/>
    <n v="27.35"/>
    <n v="15.42"/>
    <n v="36.1"/>
    <x v="2"/>
    <n v="4"/>
  </r>
  <r>
    <s v="ORD-10329"/>
    <x v="114"/>
    <s v="May 2024"/>
    <x v="1"/>
    <n v="2024"/>
    <x v="3"/>
    <x v="1"/>
    <x v="0"/>
    <x v="2"/>
    <s v="Food &amp; Beverage Item 13"/>
    <n v="16"/>
    <n v="58.52"/>
    <n v="0"/>
    <n v="936.32"/>
    <n v="0"/>
    <n v="936.32"/>
    <n v="329.2"/>
    <n v="607.12"/>
    <n v="64.8"/>
    <x v="2"/>
    <n v="3"/>
  </r>
  <r>
    <s v="ORD-10330"/>
    <x v="114"/>
    <s v="May 2024"/>
    <x v="1"/>
    <n v="2024"/>
    <x v="4"/>
    <x v="1"/>
    <x v="1"/>
    <x v="4"/>
    <s v="Electronics Item 44"/>
    <n v="3"/>
    <n v="974.56"/>
    <n v="0"/>
    <n v="2923.68"/>
    <n v="0"/>
    <n v="2923.68"/>
    <n v="1103.18"/>
    <n v="1820.5"/>
    <n v="62.3"/>
    <x v="0"/>
    <n v="5"/>
  </r>
  <r>
    <s v="ORD-10331"/>
    <x v="114"/>
    <s v="May 2024"/>
    <x v="1"/>
    <n v="2024"/>
    <x v="1"/>
    <x v="0"/>
    <x v="3"/>
    <x v="3"/>
    <s v="Home &amp; Garden Item 22"/>
    <n v="1"/>
    <n v="269.27999999999997"/>
    <n v="0"/>
    <n v="269.27999999999997"/>
    <n v="0"/>
    <n v="269.27999999999997"/>
    <n v="105.99"/>
    <n v="163.29"/>
    <n v="60.6"/>
    <x v="0"/>
    <n v="5"/>
  </r>
  <r>
    <s v="ORD-10332"/>
    <x v="115"/>
    <s v="May 2024"/>
    <x v="1"/>
    <n v="2024"/>
    <x v="4"/>
    <x v="5"/>
    <x v="0"/>
    <x v="5"/>
    <s v="Sports Item 17"/>
    <n v="19"/>
    <n v="80.849999999999994"/>
    <n v="15"/>
    <n v="1536.15"/>
    <n v="230.42"/>
    <n v="1305.73"/>
    <n v="819.68"/>
    <n v="486.05"/>
    <n v="37.200000000000003"/>
    <x v="0"/>
    <n v="3"/>
  </r>
  <r>
    <s v="ORD-10333"/>
    <x v="115"/>
    <s v="May 2024"/>
    <x v="1"/>
    <n v="2024"/>
    <x v="0"/>
    <x v="8"/>
    <x v="2"/>
    <x v="4"/>
    <s v="Electronics Item 20"/>
    <n v="3"/>
    <n v="1077.0999999999999"/>
    <n v="15"/>
    <n v="3231.3"/>
    <n v="484.69"/>
    <n v="2746.61"/>
    <n v="1320.06"/>
    <n v="1426.55"/>
    <n v="51.9"/>
    <x v="1"/>
    <n v="3"/>
  </r>
  <r>
    <s v="ORD-10334"/>
    <x v="115"/>
    <s v="May 2024"/>
    <x v="1"/>
    <n v="2024"/>
    <x v="0"/>
    <x v="1"/>
    <x v="2"/>
    <x v="0"/>
    <s v="Beauty Item 48"/>
    <n v="1"/>
    <n v="29.57"/>
    <n v="20"/>
    <n v="29.57"/>
    <n v="5.91"/>
    <n v="23.66"/>
    <n v="8.74"/>
    <n v="14.92"/>
    <n v="63.1"/>
    <x v="2"/>
    <n v="1"/>
  </r>
  <r>
    <s v="ORD-10335"/>
    <x v="116"/>
    <s v="May 2024"/>
    <x v="1"/>
    <n v="2024"/>
    <x v="0"/>
    <x v="1"/>
    <x v="0"/>
    <x v="3"/>
    <s v="Home &amp; Garden Item 50"/>
    <n v="9"/>
    <n v="467.06"/>
    <n v="0"/>
    <n v="4203.54"/>
    <n v="0"/>
    <n v="4203.54"/>
    <n v="1750.91"/>
    <n v="2452.63"/>
    <n v="58.3"/>
    <x v="2"/>
    <n v="4"/>
  </r>
  <r>
    <s v="ORD-10336"/>
    <x v="116"/>
    <s v="May 2024"/>
    <x v="1"/>
    <n v="2024"/>
    <x v="2"/>
    <x v="5"/>
    <x v="1"/>
    <x v="2"/>
    <s v="Food &amp; Beverage Item 44"/>
    <n v="7"/>
    <n v="28.89"/>
    <n v="5"/>
    <n v="202.23"/>
    <n v="10.11"/>
    <n v="192.12"/>
    <n v="71.86"/>
    <n v="120.26"/>
    <n v="62.6"/>
    <x v="0"/>
    <n v="5"/>
  </r>
  <r>
    <s v="ORD-10337"/>
    <x v="116"/>
    <s v="May 2024"/>
    <x v="1"/>
    <n v="2024"/>
    <x v="0"/>
    <x v="8"/>
    <x v="0"/>
    <x v="1"/>
    <s v="Clothing Item 18"/>
    <n v="2"/>
    <n v="87.7"/>
    <n v="15"/>
    <n v="175.4"/>
    <n v="26.31"/>
    <n v="149.09"/>
    <n v="53.87"/>
    <n v="95.22"/>
    <n v="63.9"/>
    <x v="2"/>
    <n v="4"/>
  </r>
  <r>
    <s v="ORD-10338"/>
    <x v="116"/>
    <s v="May 2024"/>
    <x v="1"/>
    <n v="2024"/>
    <x v="4"/>
    <x v="1"/>
    <x v="3"/>
    <x v="4"/>
    <s v="Electronics Item 13"/>
    <n v="2"/>
    <n v="758.98"/>
    <n v="0"/>
    <n v="1517.96"/>
    <n v="0"/>
    <n v="1517.96"/>
    <n v="706.3"/>
    <n v="811.66"/>
    <n v="53.5"/>
    <x v="1"/>
    <n v="3"/>
  </r>
  <r>
    <s v="ORD-10339"/>
    <x v="116"/>
    <s v="May 2024"/>
    <x v="1"/>
    <n v="2024"/>
    <x v="3"/>
    <x v="5"/>
    <x v="0"/>
    <x v="3"/>
    <s v="Home &amp; Garden Item 46"/>
    <n v="13"/>
    <n v="424.45"/>
    <n v="20"/>
    <n v="5517.85"/>
    <n v="1103.57"/>
    <n v="4414.28"/>
    <n v="2848.69"/>
    <n v="1565.59"/>
    <n v="35.5"/>
    <x v="1"/>
    <n v="1"/>
  </r>
  <r>
    <s v="ORD-10340"/>
    <x v="117"/>
    <s v="May 2024"/>
    <x v="1"/>
    <n v="2024"/>
    <x v="2"/>
    <x v="4"/>
    <x v="1"/>
    <x v="3"/>
    <s v="Home &amp; Garden Item 39"/>
    <n v="17"/>
    <n v="304.99"/>
    <n v="10"/>
    <n v="5184.83"/>
    <n v="518.48"/>
    <n v="4666.3500000000004"/>
    <n v="2492.7199999999998"/>
    <n v="2173.63"/>
    <n v="46.6"/>
    <x v="1"/>
    <n v="5"/>
  </r>
  <r>
    <s v="ORD-10341"/>
    <x v="117"/>
    <s v="May 2024"/>
    <x v="1"/>
    <n v="2024"/>
    <x v="2"/>
    <x v="5"/>
    <x v="2"/>
    <x v="2"/>
    <s v="Food &amp; Beverage Item 09"/>
    <n v="10"/>
    <n v="43.05"/>
    <n v="10"/>
    <n v="430.5"/>
    <n v="43.05"/>
    <n v="387.45"/>
    <n v="196.17"/>
    <n v="191.28"/>
    <n v="49.4"/>
    <x v="2"/>
    <n v="1"/>
  </r>
  <r>
    <s v="ORD-10342"/>
    <x v="117"/>
    <s v="May 2024"/>
    <x v="1"/>
    <n v="2024"/>
    <x v="0"/>
    <x v="2"/>
    <x v="2"/>
    <x v="5"/>
    <s v="Sports Item 49"/>
    <n v="17"/>
    <n v="216.14"/>
    <n v="0"/>
    <n v="3674.38"/>
    <n v="0"/>
    <n v="3674.38"/>
    <n v="2070.4499999999998"/>
    <n v="1603.93"/>
    <n v="43.7"/>
    <x v="0"/>
    <n v="2"/>
  </r>
  <r>
    <s v="ORD-10343"/>
    <x v="117"/>
    <s v="May 2024"/>
    <x v="1"/>
    <n v="2024"/>
    <x v="1"/>
    <x v="3"/>
    <x v="2"/>
    <x v="1"/>
    <s v="Clothing Item 46"/>
    <n v="14"/>
    <n v="105.62"/>
    <n v="10"/>
    <n v="1478.68"/>
    <n v="147.87"/>
    <n v="1330.81"/>
    <n v="704.32"/>
    <n v="626.49"/>
    <n v="47.1"/>
    <x v="2"/>
    <n v="5"/>
  </r>
  <r>
    <s v="ORD-10344"/>
    <x v="117"/>
    <s v="May 2024"/>
    <x v="1"/>
    <n v="2024"/>
    <x v="1"/>
    <x v="7"/>
    <x v="2"/>
    <x v="1"/>
    <s v="Clothing Item 48"/>
    <n v="14"/>
    <n v="119.14"/>
    <n v="0"/>
    <n v="1667.96"/>
    <n v="0"/>
    <n v="1667.96"/>
    <n v="1057.01"/>
    <n v="610.95000000000005"/>
    <n v="36.6"/>
    <x v="2"/>
    <n v="1"/>
  </r>
  <r>
    <s v="ORD-10345"/>
    <x v="118"/>
    <s v="May 2024"/>
    <x v="1"/>
    <n v="2024"/>
    <x v="3"/>
    <x v="8"/>
    <x v="0"/>
    <x v="1"/>
    <s v="Clothing Item 35"/>
    <n v="13"/>
    <n v="102.86"/>
    <n v="15"/>
    <n v="1337.18"/>
    <n v="200.58"/>
    <n v="1136.5999999999999"/>
    <n v="677.49"/>
    <n v="459.11"/>
    <n v="40.4"/>
    <x v="2"/>
    <n v="2"/>
  </r>
  <r>
    <s v="ORD-10346"/>
    <x v="118"/>
    <s v="May 2024"/>
    <x v="1"/>
    <n v="2024"/>
    <x v="4"/>
    <x v="0"/>
    <x v="2"/>
    <x v="0"/>
    <s v="Beauty Item 17"/>
    <n v="3"/>
    <n v="12.33"/>
    <n v="0"/>
    <n v="36.99"/>
    <n v="0"/>
    <n v="36.99"/>
    <n v="20.05"/>
    <n v="16.940000000000001"/>
    <n v="45.8"/>
    <x v="2"/>
    <n v="1"/>
  </r>
  <r>
    <s v="ORD-10347"/>
    <x v="118"/>
    <s v="May 2024"/>
    <x v="1"/>
    <n v="2024"/>
    <x v="0"/>
    <x v="3"/>
    <x v="3"/>
    <x v="3"/>
    <s v="Home &amp; Garden Item 01"/>
    <n v="18"/>
    <n v="179"/>
    <n v="15"/>
    <n v="3222"/>
    <n v="483.3"/>
    <n v="2738.7"/>
    <n v="1319.21"/>
    <n v="1419.49"/>
    <n v="51.8"/>
    <x v="0"/>
    <n v="3"/>
  </r>
  <r>
    <s v="ORD-10348"/>
    <x v="118"/>
    <s v="May 2024"/>
    <x v="1"/>
    <n v="2024"/>
    <x v="4"/>
    <x v="5"/>
    <x v="2"/>
    <x v="0"/>
    <s v="Beauty Item 50"/>
    <n v="18"/>
    <n v="25.34"/>
    <n v="20"/>
    <n v="456.12"/>
    <n v="91.22"/>
    <n v="364.9"/>
    <n v="149.80000000000001"/>
    <n v="215.1"/>
    <n v="58.9"/>
    <x v="2"/>
    <n v="4"/>
  </r>
  <r>
    <s v="ORD-10349"/>
    <x v="118"/>
    <s v="May 2024"/>
    <x v="1"/>
    <n v="2024"/>
    <x v="1"/>
    <x v="4"/>
    <x v="0"/>
    <x v="0"/>
    <s v="Beauty Item 20"/>
    <n v="20"/>
    <n v="68.319999999999993"/>
    <n v="0"/>
    <n v="1366.4"/>
    <n v="0"/>
    <n v="1366.4"/>
    <n v="747.51"/>
    <n v="618.89"/>
    <n v="45.3"/>
    <x v="1"/>
    <n v="2"/>
  </r>
  <r>
    <s v="ORD-10350"/>
    <x v="119"/>
    <s v="May 2024"/>
    <x v="1"/>
    <n v="2024"/>
    <x v="1"/>
    <x v="9"/>
    <x v="1"/>
    <x v="3"/>
    <s v="Home &amp; Garden Item 19"/>
    <n v="5"/>
    <n v="167.69"/>
    <n v="0"/>
    <n v="838.45"/>
    <n v="0"/>
    <n v="838.45"/>
    <n v="495.67"/>
    <n v="342.78"/>
    <n v="40.9"/>
    <x v="2"/>
    <n v="5"/>
  </r>
  <r>
    <s v="ORD-10351"/>
    <x v="119"/>
    <s v="May 2024"/>
    <x v="1"/>
    <n v="2024"/>
    <x v="0"/>
    <x v="0"/>
    <x v="2"/>
    <x v="1"/>
    <s v="Clothing Item 23"/>
    <n v="9"/>
    <n v="181.27"/>
    <n v="15"/>
    <n v="1631.43"/>
    <n v="244.71"/>
    <n v="1386.72"/>
    <n v="604.34"/>
    <n v="782.38"/>
    <n v="56.4"/>
    <x v="1"/>
    <n v="4"/>
  </r>
  <r>
    <s v="ORD-10352"/>
    <x v="119"/>
    <s v="May 2024"/>
    <x v="1"/>
    <n v="2024"/>
    <x v="1"/>
    <x v="4"/>
    <x v="2"/>
    <x v="3"/>
    <s v="Home &amp; Garden Item 26"/>
    <n v="3"/>
    <n v="438.61"/>
    <n v="0"/>
    <n v="1315.83"/>
    <n v="0"/>
    <n v="1315.83"/>
    <n v="473.81"/>
    <n v="842.02"/>
    <n v="64"/>
    <x v="0"/>
    <n v="1"/>
  </r>
  <r>
    <s v="ORD-10353"/>
    <x v="119"/>
    <s v="May 2024"/>
    <x v="1"/>
    <n v="2024"/>
    <x v="1"/>
    <x v="7"/>
    <x v="3"/>
    <x v="5"/>
    <s v="Sports Item 26"/>
    <n v="10"/>
    <n v="260.97000000000003"/>
    <n v="5"/>
    <n v="2609.6999999999998"/>
    <n v="130.47999999999999"/>
    <n v="2479.2199999999998"/>
    <n v="1313.63"/>
    <n v="1165.5899999999999"/>
    <n v="47"/>
    <x v="0"/>
    <n v="2"/>
  </r>
  <r>
    <s v="ORD-10354"/>
    <x v="119"/>
    <s v="May 2024"/>
    <x v="1"/>
    <n v="2024"/>
    <x v="3"/>
    <x v="8"/>
    <x v="3"/>
    <x v="3"/>
    <s v="Home &amp; Garden Item 38"/>
    <n v="3"/>
    <n v="306.52"/>
    <n v="5"/>
    <n v="919.56"/>
    <n v="45.98"/>
    <n v="873.58"/>
    <n v="440.93"/>
    <n v="432.65"/>
    <n v="49.5"/>
    <x v="0"/>
    <n v="4"/>
  </r>
  <r>
    <s v="ORD-10355"/>
    <x v="119"/>
    <s v="May 2024"/>
    <x v="1"/>
    <n v="2024"/>
    <x v="3"/>
    <x v="2"/>
    <x v="0"/>
    <x v="2"/>
    <s v="Food &amp; Beverage Item 49"/>
    <n v="17"/>
    <n v="24.91"/>
    <n v="5"/>
    <n v="423.47"/>
    <n v="21.17"/>
    <n v="402.3"/>
    <n v="168.77"/>
    <n v="233.53"/>
    <n v="58"/>
    <x v="1"/>
    <n v="4"/>
  </r>
  <r>
    <s v="ORD-10356"/>
    <x v="120"/>
    <s v="May 2024"/>
    <x v="1"/>
    <n v="2024"/>
    <x v="1"/>
    <x v="1"/>
    <x v="2"/>
    <x v="3"/>
    <s v="Home &amp; Garden Item 42"/>
    <n v="7"/>
    <n v="334.68"/>
    <n v="0"/>
    <n v="2342.7600000000002"/>
    <n v="0"/>
    <n v="2342.7600000000002"/>
    <n v="939.08"/>
    <n v="1403.68"/>
    <n v="59.9"/>
    <x v="2"/>
    <n v="1"/>
  </r>
  <r>
    <s v="ORD-10357"/>
    <x v="120"/>
    <s v="May 2024"/>
    <x v="1"/>
    <n v="2024"/>
    <x v="0"/>
    <x v="7"/>
    <x v="1"/>
    <x v="4"/>
    <s v="Electronics Item 01"/>
    <n v="5"/>
    <n v="1167.8699999999999"/>
    <n v="10"/>
    <n v="5839.35"/>
    <n v="583.94000000000005"/>
    <n v="5255.41"/>
    <n v="1896.25"/>
    <n v="3359.16"/>
    <n v="63.9"/>
    <x v="0"/>
    <n v="3"/>
  </r>
  <r>
    <s v="ORD-10358"/>
    <x v="120"/>
    <s v="May 2024"/>
    <x v="1"/>
    <n v="2024"/>
    <x v="0"/>
    <x v="2"/>
    <x v="1"/>
    <x v="5"/>
    <s v="Sports Item 31"/>
    <n v="18"/>
    <n v="241.93"/>
    <n v="0"/>
    <n v="4354.74"/>
    <n v="0"/>
    <n v="4354.74"/>
    <n v="1836.73"/>
    <n v="2518.0100000000002"/>
    <n v="57.8"/>
    <x v="0"/>
    <n v="4"/>
  </r>
  <r>
    <s v="ORD-10359"/>
    <x v="121"/>
    <s v="May 2024"/>
    <x v="1"/>
    <n v="2024"/>
    <x v="1"/>
    <x v="3"/>
    <x v="2"/>
    <x v="4"/>
    <s v="Electronics Item 42"/>
    <n v="11"/>
    <n v="311.67"/>
    <n v="5"/>
    <n v="3428.37"/>
    <n v="171.42"/>
    <n v="3256.95"/>
    <n v="1140.21"/>
    <n v="2116.7399999999998"/>
    <n v="65"/>
    <x v="0"/>
    <n v="4"/>
  </r>
  <r>
    <s v="ORD-10360"/>
    <x v="121"/>
    <s v="May 2024"/>
    <x v="1"/>
    <n v="2024"/>
    <x v="1"/>
    <x v="9"/>
    <x v="3"/>
    <x v="1"/>
    <s v="Clothing Item 33"/>
    <n v="13"/>
    <n v="24.5"/>
    <n v="15"/>
    <n v="318.5"/>
    <n v="47.77"/>
    <n v="270.73"/>
    <n v="107.54"/>
    <n v="163.19"/>
    <n v="60.3"/>
    <x v="2"/>
    <n v="5"/>
  </r>
  <r>
    <s v="ORD-10361"/>
    <x v="122"/>
    <s v="May 2024"/>
    <x v="1"/>
    <n v="2024"/>
    <x v="2"/>
    <x v="0"/>
    <x v="0"/>
    <x v="1"/>
    <s v="Clothing Item 49"/>
    <n v="19"/>
    <n v="103.88"/>
    <n v="0"/>
    <n v="1973.72"/>
    <n v="0"/>
    <n v="1973.72"/>
    <n v="1281.03"/>
    <n v="692.69"/>
    <n v="35.1"/>
    <x v="2"/>
    <n v="4"/>
  </r>
  <r>
    <s v="ORD-10362"/>
    <x v="123"/>
    <s v="May 2024"/>
    <x v="1"/>
    <n v="2024"/>
    <x v="3"/>
    <x v="6"/>
    <x v="2"/>
    <x v="2"/>
    <s v="Food &amp; Beverage Item 10"/>
    <n v="3"/>
    <n v="44.32"/>
    <n v="0"/>
    <n v="132.96"/>
    <n v="0"/>
    <n v="132.96"/>
    <n v="77.64"/>
    <n v="55.32"/>
    <n v="41.6"/>
    <x v="2"/>
    <n v="1"/>
  </r>
  <r>
    <s v="ORD-10363"/>
    <x v="124"/>
    <s v="May 2024"/>
    <x v="1"/>
    <n v="2024"/>
    <x v="3"/>
    <x v="9"/>
    <x v="2"/>
    <x v="2"/>
    <s v="Food &amp; Beverage Item 26"/>
    <n v="10"/>
    <n v="59.09"/>
    <n v="15"/>
    <n v="590.9"/>
    <n v="88.63"/>
    <n v="502.27"/>
    <n v="229"/>
    <n v="273.27"/>
    <n v="54.4"/>
    <x v="2"/>
    <n v="1"/>
  </r>
  <r>
    <s v="ORD-10364"/>
    <x v="124"/>
    <s v="May 2024"/>
    <x v="1"/>
    <n v="2024"/>
    <x v="0"/>
    <x v="9"/>
    <x v="3"/>
    <x v="2"/>
    <s v="Food &amp; Beverage Item 15"/>
    <n v="14"/>
    <n v="63.1"/>
    <n v="15"/>
    <n v="883.4"/>
    <n v="132.51"/>
    <n v="750.89"/>
    <n v="351.82"/>
    <n v="399.07"/>
    <n v="53.1"/>
    <x v="0"/>
    <n v="2"/>
  </r>
  <r>
    <s v="ORD-10365"/>
    <x v="125"/>
    <s v="May 2024"/>
    <x v="1"/>
    <n v="2024"/>
    <x v="4"/>
    <x v="4"/>
    <x v="2"/>
    <x v="5"/>
    <s v="Sports Item 15"/>
    <n v="8"/>
    <n v="167.57"/>
    <n v="15"/>
    <n v="1340.56"/>
    <n v="201.08"/>
    <n v="1139.48"/>
    <n v="599.16999999999996"/>
    <n v="540.30999999999995"/>
    <n v="47.4"/>
    <x v="2"/>
    <n v="1"/>
  </r>
  <r>
    <s v="ORD-10366"/>
    <x v="125"/>
    <s v="May 2024"/>
    <x v="1"/>
    <n v="2024"/>
    <x v="4"/>
    <x v="6"/>
    <x v="0"/>
    <x v="0"/>
    <s v="Beauty Item 47"/>
    <n v="2"/>
    <n v="125.03"/>
    <n v="0"/>
    <n v="250.06"/>
    <n v="0"/>
    <n v="250.06"/>
    <n v="126.36"/>
    <n v="123.7"/>
    <n v="49.5"/>
    <x v="2"/>
    <n v="4"/>
  </r>
  <r>
    <s v="ORD-10367"/>
    <x v="125"/>
    <s v="May 2024"/>
    <x v="1"/>
    <n v="2024"/>
    <x v="1"/>
    <x v="3"/>
    <x v="1"/>
    <x v="3"/>
    <s v="Home &amp; Garden Item 48"/>
    <n v="8"/>
    <n v="136.25"/>
    <n v="0"/>
    <n v="1090"/>
    <n v="0"/>
    <n v="1090"/>
    <n v="622.47"/>
    <n v="467.53"/>
    <n v="42.9"/>
    <x v="0"/>
    <n v="4"/>
  </r>
  <r>
    <s v="ORD-10368"/>
    <x v="126"/>
    <s v="May 2024"/>
    <x v="1"/>
    <n v="2024"/>
    <x v="1"/>
    <x v="3"/>
    <x v="1"/>
    <x v="4"/>
    <s v="Electronics Item 14"/>
    <n v="3"/>
    <n v="708.46"/>
    <n v="5"/>
    <n v="2125.38"/>
    <n v="106.27"/>
    <n v="2019.11"/>
    <n v="748.25"/>
    <n v="1270.8599999999999"/>
    <n v="62.9"/>
    <x v="1"/>
    <n v="2"/>
  </r>
  <r>
    <s v="ORD-10369"/>
    <x v="126"/>
    <s v="May 2024"/>
    <x v="1"/>
    <n v="2024"/>
    <x v="2"/>
    <x v="4"/>
    <x v="0"/>
    <x v="5"/>
    <s v="Sports Item 31"/>
    <n v="14"/>
    <n v="287.7"/>
    <n v="15"/>
    <n v="4027.8"/>
    <n v="604.16999999999996"/>
    <n v="3423.63"/>
    <n v="1290.8800000000001"/>
    <n v="2132.75"/>
    <n v="62.3"/>
    <x v="2"/>
    <n v="4"/>
  </r>
  <r>
    <s v="ORD-10370"/>
    <x v="126"/>
    <s v="May 2024"/>
    <x v="1"/>
    <n v="2024"/>
    <x v="2"/>
    <x v="4"/>
    <x v="1"/>
    <x v="4"/>
    <s v="Electronics Item 15"/>
    <n v="4"/>
    <n v="269.39999999999998"/>
    <n v="0"/>
    <n v="1077.5999999999999"/>
    <n v="0"/>
    <n v="1077.5999999999999"/>
    <n v="469.13"/>
    <n v="608.47"/>
    <n v="56.5"/>
    <x v="2"/>
    <n v="3"/>
  </r>
  <r>
    <s v="ORD-10371"/>
    <x v="127"/>
    <s v="May 2024"/>
    <x v="1"/>
    <n v="2024"/>
    <x v="0"/>
    <x v="8"/>
    <x v="2"/>
    <x v="3"/>
    <s v="Home &amp; Garden Item 34"/>
    <n v="15"/>
    <n v="231.7"/>
    <n v="15"/>
    <n v="3475.5"/>
    <n v="521.32000000000005"/>
    <n v="2954.18"/>
    <n v="1769.35"/>
    <n v="1184.83"/>
    <n v="40.1"/>
    <x v="2"/>
    <n v="1"/>
  </r>
  <r>
    <s v="ORD-10372"/>
    <x v="127"/>
    <s v="May 2024"/>
    <x v="1"/>
    <n v="2024"/>
    <x v="4"/>
    <x v="6"/>
    <x v="0"/>
    <x v="0"/>
    <s v="Beauty Item 38"/>
    <n v="20"/>
    <n v="68.63"/>
    <n v="10"/>
    <n v="1372.6"/>
    <n v="137.26"/>
    <n v="1235.3399999999999"/>
    <n v="771.47"/>
    <n v="463.87"/>
    <n v="37.5"/>
    <x v="2"/>
    <n v="3"/>
  </r>
  <r>
    <s v="ORD-10373"/>
    <x v="127"/>
    <s v="May 2024"/>
    <x v="1"/>
    <n v="2024"/>
    <x v="2"/>
    <x v="5"/>
    <x v="3"/>
    <x v="4"/>
    <s v="Electronics Item 36"/>
    <n v="20"/>
    <n v="524.9"/>
    <n v="0"/>
    <n v="10498"/>
    <n v="0"/>
    <n v="10498"/>
    <n v="4770.59"/>
    <n v="5727.41"/>
    <n v="54.6"/>
    <x v="0"/>
    <n v="3"/>
  </r>
  <r>
    <s v="ORD-10374"/>
    <x v="127"/>
    <s v="May 2024"/>
    <x v="1"/>
    <n v="2024"/>
    <x v="4"/>
    <x v="8"/>
    <x v="3"/>
    <x v="5"/>
    <s v="Sports Item 49"/>
    <n v="2"/>
    <n v="101.46"/>
    <n v="10"/>
    <n v="202.92"/>
    <n v="20.29"/>
    <n v="182.63"/>
    <n v="116.7"/>
    <n v="65.930000000000007"/>
    <n v="36.1"/>
    <x v="2"/>
    <n v="5"/>
  </r>
  <r>
    <s v="ORD-10375"/>
    <x v="127"/>
    <s v="May 2024"/>
    <x v="1"/>
    <n v="2024"/>
    <x v="2"/>
    <x v="5"/>
    <x v="3"/>
    <x v="3"/>
    <s v="Home &amp; Garden Item 30"/>
    <n v="10"/>
    <n v="260.87"/>
    <n v="10"/>
    <n v="2608.6999999999998"/>
    <n v="260.87"/>
    <n v="2347.83"/>
    <n v="1016.5"/>
    <n v="1331.33"/>
    <n v="56.7"/>
    <x v="2"/>
    <n v="4"/>
  </r>
  <r>
    <s v="ORD-10376"/>
    <x v="127"/>
    <s v="May 2024"/>
    <x v="1"/>
    <n v="2024"/>
    <x v="3"/>
    <x v="8"/>
    <x v="3"/>
    <x v="2"/>
    <s v="Food &amp; Beverage Item 47"/>
    <n v="6"/>
    <n v="50.86"/>
    <n v="15"/>
    <n v="305.16000000000003"/>
    <n v="45.77"/>
    <n v="259.39"/>
    <n v="137.97"/>
    <n v="121.42"/>
    <n v="46.8"/>
    <x v="2"/>
    <n v="2"/>
  </r>
  <r>
    <s v="ORD-10377"/>
    <x v="127"/>
    <s v="May 2024"/>
    <x v="1"/>
    <n v="2024"/>
    <x v="1"/>
    <x v="2"/>
    <x v="2"/>
    <x v="2"/>
    <s v="Food &amp; Beverage Item 30"/>
    <n v="4"/>
    <n v="40.369999999999997"/>
    <n v="0"/>
    <n v="161.47999999999999"/>
    <n v="0"/>
    <n v="161.47999999999999"/>
    <n v="65.94"/>
    <n v="95.54"/>
    <n v="59.2"/>
    <x v="0"/>
    <n v="4"/>
  </r>
  <r>
    <s v="ORD-10378"/>
    <x v="127"/>
    <s v="May 2024"/>
    <x v="1"/>
    <n v="2024"/>
    <x v="2"/>
    <x v="4"/>
    <x v="2"/>
    <x v="2"/>
    <s v="Food &amp; Beverage Item 22"/>
    <n v="1"/>
    <n v="68.63"/>
    <n v="5"/>
    <n v="68.63"/>
    <n v="3.43"/>
    <n v="65.2"/>
    <n v="41.01"/>
    <n v="24.19"/>
    <n v="37.1"/>
    <x v="2"/>
    <n v="1"/>
  </r>
  <r>
    <s v="ORD-10379"/>
    <x v="127"/>
    <s v="May 2024"/>
    <x v="1"/>
    <n v="2024"/>
    <x v="2"/>
    <x v="9"/>
    <x v="3"/>
    <x v="3"/>
    <s v="Home &amp; Garden Item 06"/>
    <n v="5"/>
    <n v="369.15"/>
    <n v="20"/>
    <n v="1845.75"/>
    <n v="369.15"/>
    <n v="1476.6"/>
    <n v="771.48"/>
    <n v="705.12"/>
    <n v="47.8"/>
    <x v="2"/>
    <n v="3"/>
  </r>
  <r>
    <s v="ORD-10380"/>
    <x v="127"/>
    <s v="May 2024"/>
    <x v="1"/>
    <n v="2024"/>
    <x v="0"/>
    <x v="8"/>
    <x v="2"/>
    <x v="0"/>
    <s v="Beauty Item 21"/>
    <n v="1"/>
    <n v="108.81"/>
    <n v="0"/>
    <n v="108.81"/>
    <n v="0"/>
    <n v="108.81"/>
    <n v="46.61"/>
    <n v="62.2"/>
    <n v="57.2"/>
    <x v="2"/>
    <n v="4"/>
  </r>
  <r>
    <s v="ORD-10381"/>
    <x v="127"/>
    <s v="May 2024"/>
    <x v="1"/>
    <n v="2024"/>
    <x v="3"/>
    <x v="7"/>
    <x v="0"/>
    <x v="5"/>
    <s v="Sports Item 13"/>
    <n v="6"/>
    <n v="219.51"/>
    <n v="10"/>
    <n v="1317.06"/>
    <n v="131.71"/>
    <n v="1185.3499999999999"/>
    <n v="559.65"/>
    <n v="625.70000000000005"/>
    <n v="52.8"/>
    <x v="2"/>
    <n v="1"/>
  </r>
  <r>
    <s v="ORD-10382"/>
    <x v="128"/>
    <s v="May 2024"/>
    <x v="1"/>
    <n v="2024"/>
    <x v="1"/>
    <x v="5"/>
    <x v="0"/>
    <x v="2"/>
    <s v="Food &amp; Beverage Item 28"/>
    <n v="16"/>
    <n v="47.07"/>
    <n v="15"/>
    <n v="753.12"/>
    <n v="112.97"/>
    <n v="640.15"/>
    <n v="244.5"/>
    <n v="395.65"/>
    <n v="61.8"/>
    <x v="0"/>
    <n v="5"/>
  </r>
  <r>
    <s v="ORD-10383"/>
    <x v="128"/>
    <s v="May 2024"/>
    <x v="1"/>
    <n v="2024"/>
    <x v="3"/>
    <x v="9"/>
    <x v="0"/>
    <x v="3"/>
    <s v="Home &amp; Garden Item 50"/>
    <n v="12"/>
    <n v="499.1"/>
    <n v="10"/>
    <n v="5989.2"/>
    <n v="598.91999999999996"/>
    <n v="5390.28"/>
    <n v="2003.65"/>
    <n v="3386.63"/>
    <n v="62.8"/>
    <x v="2"/>
    <n v="2"/>
  </r>
  <r>
    <s v="ORD-10384"/>
    <x v="128"/>
    <s v="May 2024"/>
    <x v="1"/>
    <n v="2024"/>
    <x v="1"/>
    <x v="8"/>
    <x v="3"/>
    <x v="4"/>
    <s v="Electronics Item 45"/>
    <n v="17"/>
    <n v="600.13"/>
    <n v="0"/>
    <n v="10202.209999999999"/>
    <n v="0"/>
    <n v="10202.209999999999"/>
    <n v="4471.38"/>
    <n v="5730.83"/>
    <n v="56.2"/>
    <x v="2"/>
    <n v="4"/>
  </r>
  <r>
    <s v="ORD-10385"/>
    <x v="129"/>
    <s v="May 2024"/>
    <x v="1"/>
    <n v="2024"/>
    <x v="3"/>
    <x v="4"/>
    <x v="3"/>
    <x v="2"/>
    <s v="Food &amp; Beverage Item 27"/>
    <n v="17"/>
    <n v="33.26"/>
    <n v="0"/>
    <n v="565.41999999999996"/>
    <n v="0"/>
    <n v="565.41999999999996"/>
    <n v="358.54"/>
    <n v="206.88"/>
    <n v="36.6"/>
    <x v="0"/>
    <n v="2"/>
  </r>
  <r>
    <s v="ORD-10386"/>
    <x v="129"/>
    <s v="May 2024"/>
    <x v="1"/>
    <n v="2024"/>
    <x v="3"/>
    <x v="5"/>
    <x v="3"/>
    <x v="1"/>
    <s v="Clothing Item 14"/>
    <n v="9"/>
    <n v="191.99"/>
    <n v="0"/>
    <n v="1727.91"/>
    <n v="0"/>
    <n v="1727.91"/>
    <n v="1020.99"/>
    <n v="706.92"/>
    <n v="40.9"/>
    <x v="2"/>
    <n v="2"/>
  </r>
  <r>
    <s v="ORD-10387"/>
    <x v="130"/>
    <s v="May 2024"/>
    <x v="1"/>
    <n v="2024"/>
    <x v="0"/>
    <x v="6"/>
    <x v="2"/>
    <x v="5"/>
    <s v="Sports Item 29"/>
    <n v="6"/>
    <n v="197.37"/>
    <n v="20"/>
    <n v="1184.22"/>
    <n v="236.84"/>
    <n v="947.38"/>
    <n v="603.49"/>
    <n v="343.89"/>
    <n v="36.299999999999997"/>
    <x v="1"/>
    <n v="3"/>
  </r>
  <r>
    <s v="ORD-10388"/>
    <x v="130"/>
    <s v="May 2024"/>
    <x v="1"/>
    <n v="2024"/>
    <x v="4"/>
    <x v="5"/>
    <x v="1"/>
    <x v="4"/>
    <s v="Electronics Item 29"/>
    <n v="12"/>
    <n v="663.1"/>
    <n v="0"/>
    <n v="7957.2"/>
    <n v="0"/>
    <n v="7957.2"/>
    <n v="4876.4399999999996"/>
    <n v="3080.76"/>
    <n v="38.700000000000003"/>
    <x v="2"/>
    <n v="5"/>
  </r>
  <r>
    <s v="ORD-10389"/>
    <x v="130"/>
    <s v="May 2024"/>
    <x v="1"/>
    <n v="2024"/>
    <x v="3"/>
    <x v="3"/>
    <x v="1"/>
    <x v="0"/>
    <s v="Beauty Item 36"/>
    <n v="5"/>
    <n v="86.48"/>
    <n v="5"/>
    <n v="432.4"/>
    <n v="21.62"/>
    <n v="410.78"/>
    <n v="243.98"/>
    <n v="166.8"/>
    <n v="40.6"/>
    <x v="2"/>
    <n v="1"/>
  </r>
  <r>
    <s v="ORD-10390"/>
    <x v="131"/>
    <s v="May 2024"/>
    <x v="1"/>
    <n v="2024"/>
    <x v="1"/>
    <x v="8"/>
    <x v="2"/>
    <x v="0"/>
    <s v="Beauty Item 02"/>
    <n v="9"/>
    <n v="104.62"/>
    <n v="0"/>
    <n v="941.58"/>
    <n v="0"/>
    <n v="941.58"/>
    <n v="491.95"/>
    <n v="449.63"/>
    <n v="47.8"/>
    <x v="2"/>
    <n v="5"/>
  </r>
  <r>
    <s v="ORD-10391"/>
    <x v="131"/>
    <s v="May 2024"/>
    <x v="1"/>
    <n v="2024"/>
    <x v="1"/>
    <x v="5"/>
    <x v="3"/>
    <x v="3"/>
    <s v="Home &amp; Garden Item 24"/>
    <n v="4"/>
    <n v="436.47"/>
    <n v="10"/>
    <n v="1745.88"/>
    <n v="174.59"/>
    <n v="1571.29"/>
    <n v="877.18"/>
    <n v="694.11"/>
    <n v="44.2"/>
    <x v="2"/>
    <n v="4"/>
  </r>
  <r>
    <s v="ORD-10392"/>
    <x v="131"/>
    <s v="May 2024"/>
    <x v="1"/>
    <n v="2024"/>
    <x v="0"/>
    <x v="5"/>
    <x v="3"/>
    <x v="0"/>
    <s v="Beauty Item 09"/>
    <n v="1"/>
    <n v="105.3"/>
    <n v="0"/>
    <n v="105.3"/>
    <n v="0"/>
    <n v="105.3"/>
    <n v="67.37"/>
    <n v="37.93"/>
    <n v="36"/>
    <x v="0"/>
    <n v="1"/>
  </r>
  <r>
    <s v="ORD-10393"/>
    <x v="132"/>
    <s v="May 2024"/>
    <x v="1"/>
    <n v="2024"/>
    <x v="4"/>
    <x v="5"/>
    <x v="2"/>
    <x v="1"/>
    <s v="Clothing Item 37"/>
    <n v="11"/>
    <n v="163.68"/>
    <n v="20"/>
    <n v="1800.48"/>
    <n v="360.1"/>
    <n v="1440.38"/>
    <n v="747.49"/>
    <n v="692.89"/>
    <n v="48.1"/>
    <x v="2"/>
    <n v="3"/>
  </r>
  <r>
    <s v="ORD-10394"/>
    <x v="132"/>
    <s v="May 2024"/>
    <x v="1"/>
    <n v="2024"/>
    <x v="1"/>
    <x v="5"/>
    <x v="0"/>
    <x v="2"/>
    <s v="Food &amp; Beverage Item 09"/>
    <n v="14"/>
    <n v="24.83"/>
    <n v="0"/>
    <n v="347.62"/>
    <n v="0"/>
    <n v="347.62"/>
    <n v="201.96"/>
    <n v="145.66"/>
    <n v="41.9"/>
    <x v="0"/>
    <n v="4"/>
  </r>
  <r>
    <s v="ORD-10395"/>
    <x v="132"/>
    <s v="May 2024"/>
    <x v="1"/>
    <n v="2024"/>
    <x v="0"/>
    <x v="2"/>
    <x v="0"/>
    <x v="4"/>
    <s v="Electronics Item 20"/>
    <n v="9"/>
    <n v="606.80999999999995"/>
    <n v="20"/>
    <n v="5461.29"/>
    <n v="1092.26"/>
    <n v="4369.03"/>
    <n v="2521.9899999999998"/>
    <n v="1847.04"/>
    <n v="42.3"/>
    <x v="1"/>
    <n v="4"/>
  </r>
  <r>
    <s v="ORD-10396"/>
    <x v="133"/>
    <s v="May 2024"/>
    <x v="1"/>
    <n v="2024"/>
    <x v="1"/>
    <x v="1"/>
    <x v="2"/>
    <x v="2"/>
    <s v="Food &amp; Beverage Item 48"/>
    <n v="17"/>
    <n v="76.8"/>
    <n v="10"/>
    <n v="1305.5999999999999"/>
    <n v="130.56"/>
    <n v="1175.04"/>
    <n v="750.11"/>
    <n v="424.93"/>
    <n v="36.200000000000003"/>
    <x v="2"/>
    <n v="2"/>
  </r>
  <r>
    <s v="ORD-10397"/>
    <x v="133"/>
    <s v="May 2024"/>
    <x v="1"/>
    <n v="2024"/>
    <x v="2"/>
    <x v="7"/>
    <x v="2"/>
    <x v="5"/>
    <s v="Sports Item 01"/>
    <n v="3"/>
    <n v="129.63"/>
    <n v="0"/>
    <n v="388.89"/>
    <n v="0"/>
    <n v="388.89"/>
    <n v="189.64"/>
    <n v="199.25"/>
    <n v="51.2"/>
    <x v="0"/>
    <n v="1"/>
  </r>
  <r>
    <s v="ORD-10398"/>
    <x v="133"/>
    <s v="May 2024"/>
    <x v="1"/>
    <n v="2024"/>
    <x v="3"/>
    <x v="9"/>
    <x v="0"/>
    <x v="2"/>
    <s v="Food &amp; Beverage Item 32"/>
    <n v="9"/>
    <n v="27.39"/>
    <n v="0"/>
    <n v="246.51"/>
    <n v="0"/>
    <n v="246.51"/>
    <n v="120.35"/>
    <n v="126.16"/>
    <n v="51.2"/>
    <x v="1"/>
    <n v="2"/>
  </r>
  <r>
    <s v="ORD-10399"/>
    <x v="133"/>
    <s v="May 2024"/>
    <x v="1"/>
    <n v="2024"/>
    <x v="4"/>
    <x v="6"/>
    <x v="0"/>
    <x v="3"/>
    <s v="Home &amp; Garden Item 43"/>
    <n v="19"/>
    <n v="471.91"/>
    <n v="15"/>
    <n v="8966.2900000000009"/>
    <n v="1344.94"/>
    <n v="7621.35"/>
    <n v="4009.2"/>
    <n v="3612.15"/>
    <n v="47.4"/>
    <x v="2"/>
    <n v="1"/>
  </r>
  <r>
    <s v="ORD-10400"/>
    <x v="134"/>
    <s v="May 2024"/>
    <x v="1"/>
    <n v="2024"/>
    <x v="3"/>
    <x v="5"/>
    <x v="1"/>
    <x v="2"/>
    <s v="Food &amp; Beverage Item 23"/>
    <n v="3"/>
    <n v="78.67"/>
    <n v="5"/>
    <n v="236.01"/>
    <n v="11.8"/>
    <n v="224.21"/>
    <n v="80.31"/>
    <n v="143.9"/>
    <n v="64.2"/>
    <x v="0"/>
    <n v="4"/>
  </r>
  <r>
    <s v="ORD-10401"/>
    <x v="134"/>
    <s v="May 2024"/>
    <x v="1"/>
    <n v="2024"/>
    <x v="3"/>
    <x v="4"/>
    <x v="1"/>
    <x v="5"/>
    <s v="Sports Item 22"/>
    <n v="16"/>
    <n v="314.19"/>
    <n v="0"/>
    <n v="5027.04"/>
    <n v="0"/>
    <n v="5027.04"/>
    <n v="1934.81"/>
    <n v="3092.23"/>
    <n v="61.5"/>
    <x v="2"/>
    <n v="3"/>
  </r>
  <r>
    <s v="ORD-10402"/>
    <x v="134"/>
    <s v="May 2024"/>
    <x v="1"/>
    <n v="2024"/>
    <x v="2"/>
    <x v="8"/>
    <x v="1"/>
    <x v="4"/>
    <s v="Electronics Item 15"/>
    <n v="15"/>
    <n v="860.64"/>
    <n v="0"/>
    <n v="12909.6"/>
    <n v="0"/>
    <n v="12909.6"/>
    <n v="4779.99"/>
    <n v="8129.61"/>
    <n v="63"/>
    <x v="0"/>
    <n v="3"/>
  </r>
  <r>
    <s v="ORD-10403"/>
    <x v="134"/>
    <s v="May 2024"/>
    <x v="1"/>
    <n v="2024"/>
    <x v="4"/>
    <x v="9"/>
    <x v="3"/>
    <x v="1"/>
    <s v="Clothing Item 27"/>
    <n v="17"/>
    <n v="142.69"/>
    <n v="0"/>
    <n v="2425.73"/>
    <n v="0"/>
    <n v="2425.73"/>
    <n v="1310.1300000000001"/>
    <n v="1115.5999999999999"/>
    <n v="46"/>
    <x v="0"/>
    <n v="2"/>
  </r>
  <r>
    <s v="ORD-10404"/>
    <x v="134"/>
    <s v="May 2024"/>
    <x v="1"/>
    <n v="2024"/>
    <x v="3"/>
    <x v="5"/>
    <x v="0"/>
    <x v="4"/>
    <s v="Electronics Item 28"/>
    <n v="12"/>
    <n v="612.35"/>
    <n v="10"/>
    <n v="7348.2"/>
    <n v="734.82"/>
    <n v="6613.38"/>
    <n v="4287.1899999999996"/>
    <n v="2326.19"/>
    <n v="35.200000000000003"/>
    <x v="0"/>
    <n v="1"/>
  </r>
  <r>
    <s v="ORD-10405"/>
    <x v="134"/>
    <s v="May 2024"/>
    <x v="1"/>
    <n v="2024"/>
    <x v="0"/>
    <x v="2"/>
    <x v="3"/>
    <x v="4"/>
    <s v="Electronics Item 44"/>
    <n v="2"/>
    <n v="601.77"/>
    <n v="5"/>
    <n v="1203.54"/>
    <n v="60.18"/>
    <n v="1143.3599999999999"/>
    <n v="632.36"/>
    <n v="511"/>
    <n v="44.7"/>
    <x v="2"/>
    <n v="2"/>
  </r>
  <r>
    <s v="ORD-10406"/>
    <x v="134"/>
    <s v="May 2024"/>
    <x v="1"/>
    <n v="2024"/>
    <x v="1"/>
    <x v="3"/>
    <x v="2"/>
    <x v="3"/>
    <s v="Home &amp; Garden Item 49"/>
    <n v="16"/>
    <n v="289.02999999999997"/>
    <n v="0"/>
    <n v="4624.4799999999996"/>
    <n v="0"/>
    <n v="4624.4799999999996"/>
    <n v="1937.56"/>
    <n v="2686.92"/>
    <n v="58.1"/>
    <x v="2"/>
    <n v="1"/>
  </r>
  <r>
    <s v="ORD-10407"/>
    <x v="134"/>
    <s v="May 2024"/>
    <x v="1"/>
    <n v="2024"/>
    <x v="1"/>
    <x v="7"/>
    <x v="3"/>
    <x v="5"/>
    <s v="Sports Item 26"/>
    <n v="19"/>
    <n v="375.43"/>
    <n v="15"/>
    <n v="7133.17"/>
    <n v="1069.98"/>
    <n v="6063.19"/>
    <n v="2696.42"/>
    <n v="3366.77"/>
    <n v="55.5"/>
    <x v="2"/>
    <n v="3"/>
  </r>
  <r>
    <s v="ORD-10408"/>
    <x v="134"/>
    <s v="May 2024"/>
    <x v="1"/>
    <n v="2024"/>
    <x v="0"/>
    <x v="9"/>
    <x v="3"/>
    <x v="4"/>
    <s v="Electronics Item 49"/>
    <n v="6"/>
    <n v="879.91"/>
    <n v="5"/>
    <n v="5279.46"/>
    <n v="263.97000000000003"/>
    <n v="5015.49"/>
    <n v="3193.03"/>
    <n v="1822.46"/>
    <n v="36.299999999999997"/>
    <x v="2"/>
    <n v="4"/>
  </r>
  <r>
    <s v="ORD-10409"/>
    <x v="135"/>
    <s v="May 2024"/>
    <x v="1"/>
    <n v="2024"/>
    <x v="1"/>
    <x v="9"/>
    <x v="2"/>
    <x v="4"/>
    <s v="Electronics Item 50"/>
    <n v="12"/>
    <n v="380.96"/>
    <n v="0"/>
    <n v="4571.5200000000004"/>
    <n v="0"/>
    <n v="4571.5200000000004"/>
    <n v="2308.39"/>
    <n v="2263.13"/>
    <n v="49.5"/>
    <x v="2"/>
    <n v="1"/>
  </r>
  <r>
    <s v="ORD-10410"/>
    <x v="136"/>
    <s v="May 2024"/>
    <x v="1"/>
    <n v="2024"/>
    <x v="2"/>
    <x v="5"/>
    <x v="3"/>
    <x v="1"/>
    <s v="Clothing Item 45"/>
    <n v="6"/>
    <n v="121.09"/>
    <n v="0"/>
    <n v="726.54"/>
    <n v="0"/>
    <n v="726.54"/>
    <n v="256.41000000000003"/>
    <n v="470.13"/>
    <n v="64.7"/>
    <x v="2"/>
    <n v="3"/>
  </r>
  <r>
    <s v="ORD-10411"/>
    <x v="136"/>
    <s v="May 2024"/>
    <x v="1"/>
    <n v="2024"/>
    <x v="0"/>
    <x v="9"/>
    <x v="3"/>
    <x v="0"/>
    <s v="Beauty Item 35"/>
    <n v="9"/>
    <n v="86.05"/>
    <n v="0"/>
    <n v="774.45"/>
    <n v="0"/>
    <n v="774.45"/>
    <n v="464.4"/>
    <n v="310.05"/>
    <n v="40"/>
    <x v="2"/>
    <n v="4"/>
  </r>
  <r>
    <s v="ORD-10412"/>
    <x v="136"/>
    <s v="May 2024"/>
    <x v="1"/>
    <n v="2024"/>
    <x v="2"/>
    <x v="4"/>
    <x v="1"/>
    <x v="1"/>
    <s v="Clothing Item 20"/>
    <n v="4"/>
    <n v="180.72"/>
    <n v="0"/>
    <n v="722.88"/>
    <n v="0"/>
    <n v="722.88"/>
    <n v="306.85000000000002"/>
    <n v="416.03"/>
    <n v="57.6"/>
    <x v="2"/>
    <n v="4"/>
  </r>
  <r>
    <s v="ORD-10413"/>
    <x v="137"/>
    <s v="May 2024"/>
    <x v="1"/>
    <n v="2024"/>
    <x v="4"/>
    <x v="3"/>
    <x v="2"/>
    <x v="5"/>
    <s v="Sports Item 21"/>
    <n v="19"/>
    <n v="172.95"/>
    <n v="15"/>
    <n v="3286.05"/>
    <n v="492.91"/>
    <n v="2793.14"/>
    <n v="1055.54"/>
    <n v="1737.6"/>
    <n v="62.2"/>
    <x v="2"/>
    <n v="5"/>
  </r>
  <r>
    <s v="ORD-10414"/>
    <x v="137"/>
    <s v="May 2024"/>
    <x v="1"/>
    <n v="2024"/>
    <x v="1"/>
    <x v="5"/>
    <x v="2"/>
    <x v="5"/>
    <s v="Sports Item 38"/>
    <n v="4"/>
    <n v="154.43"/>
    <n v="0"/>
    <n v="617.72"/>
    <n v="0"/>
    <n v="617.72"/>
    <n v="341.05"/>
    <n v="276.67"/>
    <n v="44.8"/>
    <x v="2"/>
    <n v="2"/>
  </r>
  <r>
    <s v="ORD-10415"/>
    <x v="137"/>
    <s v="May 2024"/>
    <x v="1"/>
    <n v="2024"/>
    <x v="2"/>
    <x v="3"/>
    <x v="2"/>
    <x v="3"/>
    <s v="Home &amp; Garden Item 02"/>
    <n v="8"/>
    <n v="391.07"/>
    <n v="0"/>
    <n v="3128.56"/>
    <n v="0"/>
    <n v="3128.56"/>
    <n v="1865.63"/>
    <n v="1262.93"/>
    <n v="40.4"/>
    <x v="0"/>
    <n v="3"/>
  </r>
  <r>
    <s v="ORD-10416"/>
    <x v="138"/>
    <s v="May 2024"/>
    <x v="1"/>
    <n v="2024"/>
    <x v="1"/>
    <x v="8"/>
    <x v="2"/>
    <x v="2"/>
    <s v="Food &amp; Beverage Item 37"/>
    <n v="17"/>
    <n v="15.99"/>
    <n v="20"/>
    <n v="271.83"/>
    <n v="54.37"/>
    <n v="217.46"/>
    <n v="81.069999999999993"/>
    <n v="136.38999999999999"/>
    <n v="62.7"/>
    <x v="0"/>
    <n v="2"/>
  </r>
  <r>
    <s v="ORD-10417"/>
    <x v="138"/>
    <s v="May 2024"/>
    <x v="1"/>
    <n v="2024"/>
    <x v="4"/>
    <x v="1"/>
    <x v="0"/>
    <x v="2"/>
    <s v="Food &amp; Beverage Item 03"/>
    <n v="1"/>
    <n v="8.15"/>
    <n v="10"/>
    <n v="8.15"/>
    <n v="0.82"/>
    <n v="7.33"/>
    <n v="4.6100000000000003"/>
    <n v="2.72"/>
    <n v="37.1"/>
    <x v="2"/>
    <n v="1"/>
  </r>
  <r>
    <s v="ORD-10418"/>
    <x v="138"/>
    <s v="May 2024"/>
    <x v="1"/>
    <n v="2024"/>
    <x v="3"/>
    <x v="7"/>
    <x v="0"/>
    <x v="2"/>
    <s v="Food &amp; Beverage Item 09"/>
    <n v="2"/>
    <n v="76.650000000000006"/>
    <n v="15"/>
    <n v="153.30000000000001"/>
    <n v="23"/>
    <n v="130.30000000000001"/>
    <n v="64.23"/>
    <n v="66.069999999999993"/>
    <n v="50.7"/>
    <x v="0"/>
    <n v="1"/>
  </r>
  <r>
    <s v="ORD-10419"/>
    <x v="139"/>
    <s v="May 2024"/>
    <x v="1"/>
    <n v="2024"/>
    <x v="1"/>
    <x v="0"/>
    <x v="2"/>
    <x v="0"/>
    <s v="Beauty Item 10"/>
    <n v="1"/>
    <n v="21.06"/>
    <n v="5"/>
    <n v="21.06"/>
    <n v="1.05"/>
    <n v="20.010000000000002"/>
    <n v="9.1300000000000008"/>
    <n v="10.88"/>
    <n v="54.4"/>
    <x v="2"/>
    <n v="4"/>
  </r>
  <r>
    <s v="ORD-10420"/>
    <x v="140"/>
    <s v="May 2024"/>
    <x v="1"/>
    <n v="2024"/>
    <x v="4"/>
    <x v="4"/>
    <x v="0"/>
    <x v="5"/>
    <s v="Sports Item 22"/>
    <n v="8"/>
    <n v="371.5"/>
    <n v="0"/>
    <n v="2972"/>
    <n v="0"/>
    <n v="2972"/>
    <n v="1837.57"/>
    <n v="1134.43"/>
    <n v="38.200000000000003"/>
    <x v="2"/>
    <n v="3"/>
  </r>
  <r>
    <s v="ORD-10421"/>
    <x v="141"/>
    <s v="May 2024"/>
    <x v="1"/>
    <n v="2024"/>
    <x v="0"/>
    <x v="5"/>
    <x v="3"/>
    <x v="0"/>
    <s v="Beauty Item 37"/>
    <n v="2"/>
    <n v="101.84"/>
    <n v="0"/>
    <n v="203.68"/>
    <n v="0"/>
    <n v="203.68"/>
    <n v="87.73"/>
    <n v="115.95"/>
    <n v="56.9"/>
    <x v="2"/>
    <n v="3"/>
  </r>
  <r>
    <s v="ORD-10422"/>
    <x v="141"/>
    <s v="May 2024"/>
    <x v="1"/>
    <n v="2024"/>
    <x v="1"/>
    <x v="4"/>
    <x v="1"/>
    <x v="2"/>
    <s v="Food &amp; Beverage Item 41"/>
    <n v="16"/>
    <n v="61.05"/>
    <n v="20"/>
    <n v="976.8"/>
    <n v="195.36"/>
    <n v="781.44"/>
    <n v="495.54"/>
    <n v="285.89999999999998"/>
    <n v="36.6"/>
    <x v="0"/>
    <n v="2"/>
  </r>
  <r>
    <s v="ORD-10423"/>
    <x v="142"/>
    <s v="May 2024"/>
    <x v="1"/>
    <n v="2024"/>
    <x v="0"/>
    <x v="9"/>
    <x v="1"/>
    <x v="2"/>
    <s v="Food &amp; Beverage Item 39"/>
    <n v="12"/>
    <n v="21.05"/>
    <n v="10"/>
    <n v="252.6"/>
    <n v="25.26"/>
    <n v="227.34"/>
    <n v="126.16"/>
    <n v="101.18"/>
    <n v="44.5"/>
    <x v="1"/>
    <n v="2"/>
  </r>
  <r>
    <s v="ORD-10424"/>
    <x v="142"/>
    <s v="May 2024"/>
    <x v="1"/>
    <n v="2024"/>
    <x v="4"/>
    <x v="5"/>
    <x v="3"/>
    <x v="1"/>
    <s v="Clothing Item 39"/>
    <n v="13"/>
    <n v="168.17"/>
    <n v="0"/>
    <n v="2186.21"/>
    <n v="0"/>
    <n v="2186.21"/>
    <n v="1361.96"/>
    <n v="824.25"/>
    <n v="37.700000000000003"/>
    <x v="2"/>
    <n v="3"/>
  </r>
  <r>
    <s v="ORD-10425"/>
    <x v="142"/>
    <s v="May 2024"/>
    <x v="1"/>
    <n v="2024"/>
    <x v="0"/>
    <x v="7"/>
    <x v="1"/>
    <x v="5"/>
    <s v="Sports Item 37"/>
    <n v="5"/>
    <n v="126.67"/>
    <n v="15"/>
    <n v="633.35"/>
    <n v="95"/>
    <n v="538.35"/>
    <n v="269.01"/>
    <n v="269.33999999999997"/>
    <n v="50"/>
    <x v="0"/>
    <n v="4"/>
  </r>
  <r>
    <s v="ORD-10426"/>
    <x v="143"/>
    <s v="May 2024"/>
    <x v="1"/>
    <n v="2024"/>
    <x v="2"/>
    <x v="3"/>
    <x v="3"/>
    <x v="2"/>
    <s v="Food &amp; Beverage Item 26"/>
    <n v="6"/>
    <n v="47.15"/>
    <n v="15"/>
    <n v="282.89999999999998"/>
    <n v="42.43"/>
    <n v="240.47"/>
    <n v="98.57"/>
    <n v="141.9"/>
    <n v="59"/>
    <x v="2"/>
    <n v="4"/>
  </r>
  <r>
    <s v="ORD-10427"/>
    <x v="143"/>
    <s v="May 2024"/>
    <x v="1"/>
    <n v="2024"/>
    <x v="3"/>
    <x v="3"/>
    <x v="3"/>
    <x v="4"/>
    <s v="Electronics Item 25"/>
    <n v="2"/>
    <n v="362.36"/>
    <n v="0"/>
    <n v="724.72"/>
    <n v="0"/>
    <n v="724.72"/>
    <n v="413.55"/>
    <n v="311.17"/>
    <n v="42.9"/>
    <x v="2"/>
    <n v="4"/>
  </r>
  <r>
    <s v="ORD-10428"/>
    <x v="143"/>
    <s v="May 2024"/>
    <x v="1"/>
    <n v="2024"/>
    <x v="0"/>
    <x v="9"/>
    <x v="1"/>
    <x v="5"/>
    <s v="Sports Item 14"/>
    <n v="18"/>
    <n v="65.959999999999994"/>
    <n v="0"/>
    <n v="1187.28"/>
    <n v="0"/>
    <n v="1187.28"/>
    <n v="726.4"/>
    <n v="460.88"/>
    <n v="38.799999999999997"/>
    <x v="1"/>
    <n v="5"/>
  </r>
  <r>
    <s v="ORD-10429"/>
    <x v="144"/>
    <s v="Jun 2024"/>
    <x v="1"/>
    <n v="2024"/>
    <x v="2"/>
    <x v="8"/>
    <x v="3"/>
    <x v="0"/>
    <s v="Beauty Item 26"/>
    <n v="14"/>
    <n v="113.72"/>
    <n v="15"/>
    <n v="1592.08"/>
    <n v="238.81"/>
    <n v="1353.27"/>
    <n v="557.59"/>
    <n v="795.68"/>
    <n v="58.8"/>
    <x v="2"/>
    <n v="2"/>
  </r>
  <r>
    <s v="ORD-10430"/>
    <x v="144"/>
    <s v="Jun 2024"/>
    <x v="1"/>
    <n v="2024"/>
    <x v="3"/>
    <x v="4"/>
    <x v="1"/>
    <x v="5"/>
    <s v="Sports Item 05"/>
    <n v="8"/>
    <n v="114.73"/>
    <n v="0"/>
    <n v="917.84"/>
    <n v="0"/>
    <n v="917.84"/>
    <n v="377.08"/>
    <n v="540.76"/>
    <n v="58.9"/>
    <x v="1"/>
    <n v="4"/>
  </r>
  <r>
    <s v="ORD-10431"/>
    <x v="144"/>
    <s v="Jun 2024"/>
    <x v="1"/>
    <n v="2024"/>
    <x v="4"/>
    <x v="8"/>
    <x v="2"/>
    <x v="3"/>
    <s v="Home &amp; Garden Item 35"/>
    <n v="11"/>
    <n v="44.37"/>
    <n v="5"/>
    <n v="488.07"/>
    <n v="24.4"/>
    <n v="463.67"/>
    <n v="197.02"/>
    <n v="266.64999999999998"/>
    <n v="57.5"/>
    <x v="1"/>
    <n v="3"/>
  </r>
  <r>
    <s v="ORD-10432"/>
    <x v="145"/>
    <s v="Jun 2024"/>
    <x v="1"/>
    <n v="2024"/>
    <x v="4"/>
    <x v="6"/>
    <x v="1"/>
    <x v="4"/>
    <s v="Electronics Item 25"/>
    <n v="8"/>
    <n v="1090.96"/>
    <n v="0"/>
    <n v="8727.68"/>
    <n v="0"/>
    <n v="8727.68"/>
    <n v="4674.3599999999997"/>
    <n v="4053.32"/>
    <n v="46.4"/>
    <x v="2"/>
    <n v="5"/>
  </r>
  <r>
    <s v="ORD-10433"/>
    <x v="145"/>
    <s v="Jun 2024"/>
    <x v="1"/>
    <n v="2024"/>
    <x v="1"/>
    <x v="5"/>
    <x v="1"/>
    <x v="2"/>
    <s v="Food &amp; Beverage Item 13"/>
    <n v="14"/>
    <n v="21.93"/>
    <n v="0"/>
    <n v="307.02"/>
    <n v="0"/>
    <n v="307.02"/>
    <n v="121.83"/>
    <n v="185.19"/>
    <n v="60.3"/>
    <x v="2"/>
    <n v="4"/>
  </r>
  <r>
    <s v="ORD-10434"/>
    <x v="145"/>
    <s v="Jun 2024"/>
    <x v="1"/>
    <n v="2024"/>
    <x v="2"/>
    <x v="6"/>
    <x v="2"/>
    <x v="3"/>
    <s v="Home &amp; Garden Item 31"/>
    <n v="11"/>
    <n v="131.76"/>
    <n v="5"/>
    <n v="1449.36"/>
    <n v="72.47"/>
    <n v="1376.89"/>
    <n v="525.98"/>
    <n v="850.91"/>
    <n v="61.8"/>
    <x v="1"/>
    <n v="1"/>
  </r>
  <r>
    <s v="ORD-10435"/>
    <x v="146"/>
    <s v="Jun 2024"/>
    <x v="1"/>
    <n v="2024"/>
    <x v="3"/>
    <x v="4"/>
    <x v="1"/>
    <x v="1"/>
    <s v="Clothing Item 07"/>
    <n v="9"/>
    <n v="33.54"/>
    <n v="0"/>
    <n v="301.86"/>
    <n v="0"/>
    <n v="301.86"/>
    <n v="188.98"/>
    <n v="112.88"/>
    <n v="37.4"/>
    <x v="2"/>
    <n v="5"/>
  </r>
  <r>
    <s v="ORD-10436"/>
    <x v="146"/>
    <s v="Jun 2024"/>
    <x v="1"/>
    <n v="2024"/>
    <x v="1"/>
    <x v="9"/>
    <x v="3"/>
    <x v="5"/>
    <s v="Sports Item 22"/>
    <n v="3"/>
    <n v="148.86000000000001"/>
    <n v="0"/>
    <n v="446.58"/>
    <n v="0"/>
    <n v="446.58"/>
    <n v="246.84"/>
    <n v="199.74"/>
    <n v="44.7"/>
    <x v="0"/>
    <n v="5"/>
  </r>
  <r>
    <s v="ORD-10437"/>
    <x v="146"/>
    <s v="Jun 2024"/>
    <x v="1"/>
    <n v="2024"/>
    <x v="1"/>
    <x v="1"/>
    <x v="0"/>
    <x v="5"/>
    <s v="Sports Item 37"/>
    <n v="19"/>
    <n v="202.15"/>
    <n v="20"/>
    <n v="3840.85"/>
    <n v="768.17"/>
    <n v="3072.68"/>
    <n v="1686.98"/>
    <n v="1385.7"/>
    <n v="45.1"/>
    <x v="2"/>
    <n v="2"/>
  </r>
  <r>
    <s v="ORD-10438"/>
    <x v="146"/>
    <s v="Jun 2024"/>
    <x v="1"/>
    <n v="2024"/>
    <x v="4"/>
    <x v="4"/>
    <x v="2"/>
    <x v="1"/>
    <s v="Clothing Item 29"/>
    <n v="12"/>
    <n v="141.02000000000001"/>
    <n v="0"/>
    <n v="1692.24"/>
    <n v="0"/>
    <n v="1692.24"/>
    <n v="903.91"/>
    <n v="788.33"/>
    <n v="46.6"/>
    <x v="2"/>
    <n v="1"/>
  </r>
  <r>
    <s v="ORD-10439"/>
    <x v="147"/>
    <s v="Jun 2024"/>
    <x v="1"/>
    <n v="2024"/>
    <x v="0"/>
    <x v="7"/>
    <x v="1"/>
    <x v="3"/>
    <s v="Home &amp; Garden Item 41"/>
    <n v="4"/>
    <n v="85.98"/>
    <n v="20"/>
    <n v="343.92"/>
    <n v="68.78"/>
    <n v="275.14"/>
    <n v="159.38"/>
    <n v="115.76"/>
    <n v="42.1"/>
    <x v="2"/>
    <n v="5"/>
  </r>
  <r>
    <s v="ORD-10440"/>
    <x v="147"/>
    <s v="Jun 2024"/>
    <x v="1"/>
    <n v="2024"/>
    <x v="3"/>
    <x v="5"/>
    <x v="2"/>
    <x v="4"/>
    <s v="Electronics Item 20"/>
    <n v="17"/>
    <n v="1159.2"/>
    <n v="0"/>
    <n v="19706.400000000001"/>
    <n v="0"/>
    <n v="19706.400000000001"/>
    <n v="10098.39"/>
    <n v="9608.01"/>
    <n v="48.8"/>
    <x v="2"/>
    <n v="5"/>
  </r>
  <r>
    <s v="ORD-10441"/>
    <x v="148"/>
    <s v="Jun 2024"/>
    <x v="1"/>
    <n v="2024"/>
    <x v="4"/>
    <x v="3"/>
    <x v="2"/>
    <x v="2"/>
    <s v="Food &amp; Beverage Item 06"/>
    <n v="2"/>
    <n v="78.34"/>
    <n v="20"/>
    <n v="156.68"/>
    <n v="31.34"/>
    <n v="125.34"/>
    <n v="45.46"/>
    <n v="79.88"/>
    <n v="63.7"/>
    <x v="2"/>
    <n v="2"/>
  </r>
  <r>
    <s v="ORD-10442"/>
    <x v="148"/>
    <s v="Jun 2024"/>
    <x v="1"/>
    <n v="2024"/>
    <x v="4"/>
    <x v="1"/>
    <x v="3"/>
    <x v="3"/>
    <s v="Home &amp; Garden Item 11"/>
    <n v="6"/>
    <n v="95.81"/>
    <n v="0"/>
    <n v="574.86"/>
    <n v="0"/>
    <n v="574.86"/>
    <n v="284.38"/>
    <n v="290.48"/>
    <n v="50.5"/>
    <x v="0"/>
    <n v="3"/>
  </r>
  <r>
    <s v="ORD-10443"/>
    <x v="148"/>
    <s v="Jun 2024"/>
    <x v="1"/>
    <n v="2024"/>
    <x v="0"/>
    <x v="8"/>
    <x v="3"/>
    <x v="0"/>
    <s v="Beauty Item 07"/>
    <n v="8"/>
    <n v="101.4"/>
    <n v="0"/>
    <n v="811.2"/>
    <n v="0"/>
    <n v="811.2"/>
    <n v="434.97"/>
    <n v="376.23"/>
    <n v="46.4"/>
    <x v="0"/>
    <n v="3"/>
  </r>
  <r>
    <s v="ORD-10444"/>
    <x v="148"/>
    <s v="Jun 2024"/>
    <x v="1"/>
    <n v="2024"/>
    <x v="2"/>
    <x v="7"/>
    <x v="1"/>
    <x v="2"/>
    <s v="Food &amp; Beverage Item 44"/>
    <n v="17"/>
    <n v="71.05"/>
    <n v="20"/>
    <n v="1207.8499999999999"/>
    <n v="241.57"/>
    <n v="966.28"/>
    <n v="480.92"/>
    <n v="485.36"/>
    <n v="50.2"/>
    <x v="0"/>
    <n v="1"/>
  </r>
  <r>
    <s v="ORD-10445"/>
    <x v="149"/>
    <s v="Jun 2024"/>
    <x v="1"/>
    <n v="2024"/>
    <x v="2"/>
    <x v="0"/>
    <x v="1"/>
    <x v="3"/>
    <s v="Home &amp; Garden Item 36"/>
    <n v="2"/>
    <n v="248.34"/>
    <n v="15"/>
    <n v="496.68"/>
    <n v="74.5"/>
    <n v="422.18"/>
    <n v="272.56"/>
    <n v="149.62"/>
    <n v="35.4"/>
    <x v="2"/>
    <n v="2"/>
  </r>
  <r>
    <s v="ORD-10446"/>
    <x v="149"/>
    <s v="Jun 2024"/>
    <x v="1"/>
    <n v="2024"/>
    <x v="3"/>
    <x v="6"/>
    <x v="2"/>
    <x v="4"/>
    <s v="Electronics Item 12"/>
    <n v="13"/>
    <n v="798.12"/>
    <n v="0"/>
    <n v="10375.56"/>
    <n v="0"/>
    <n v="10375.56"/>
    <n v="6423.51"/>
    <n v="3952.05"/>
    <n v="38.1"/>
    <x v="1"/>
    <n v="4"/>
  </r>
  <r>
    <s v="ORD-10447"/>
    <x v="150"/>
    <s v="Jun 2024"/>
    <x v="1"/>
    <n v="2024"/>
    <x v="0"/>
    <x v="2"/>
    <x v="2"/>
    <x v="5"/>
    <s v="Sports Item 03"/>
    <n v="3"/>
    <n v="308.47000000000003"/>
    <n v="5"/>
    <n v="925.41"/>
    <n v="46.27"/>
    <n v="879.14"/>
    <n v="536.83000000000004"/>
    <n v="342.31"/>
    <n v="38.9"/>
    <x v="2"/>
    <n v="2"/>
  </r>
  <r>
    <s v="ORD-10448"/>
    <x v="150"/>
    <s v="Jun 2024"/>
    <x v="1"/>
    <n v="2024"/>
    <x v="0"/>
    <x v="4"/>
    <x v="2"/>
    <x v="3"/>
    <s v="Home &amp; Garden Item 45"/>
    <n v="15"/>
    <n v="157.88"/>
    <n v="15"/>
    <n v="2368.1999999999998"/>
    <n v="355.23"/>
    <n v="2012.97"/>
    <n v="1000.93"/>
    <n v="1012.04"/>
    <n v="50.3"/>
    <x v="2"/>
    <n v="4"/>
  </r>
  <r>
    <s v="ORD-10449"/>
    <x v="151"/>
    <s v="Jun 2024"/>
    <x v="1"/>
    <n v="2024"/>
    <x v="1"/>
    <x v="9"/>
    <x v="3"/>
    <x v="1"/>
    <s v="Clothing Item 39"/>
    <n v="10"/>
    <n v="67.8"/>
    <n v="0"/>
    <n v="678"/>
    <n v="0"/>
    <n v="678"/>
    <n v="437.53"/>
    <n v="240.47"/>
    <n v="35.5"/>
    <x v="1"/>
    <n v="3"/>
  </r>
  <r>
    <s v="ORD-10450"/>
    <x v="151"/>
    <s v="Jun 2024"/>
    <x v="1"/>
    <n v="2024"/>
    <x v="0"/>
    <x v="1"/>
    <x v="2"/>
    <x v="4"/>
    <s v="Electronics Item 32"/>
    <n v="10"/>
    <n v="118.04"/>
    <n v="0"/>
    <n v="1180.4000000000001"/>
    <n v="0"/>
    <n v="1180.4000000000001"/>
    <n v="737.52"/>
    <n v="442.88"/>
    <n v="37.5"/>
    <x v="1"/>
    <n v="1"/>
  </r>
  <r>
    <s v="ORD-10451"/>
    <x v="151"/>
    <s v="Jun 2024"/>
    <x v="1"/>
    <n v="2024"/>
    <x v="3"/>
    <x v="9"/>
    <x v="1"/>
    <x v="5"/>
    <s v="Sports Item 02"/>
    <n v="11"/>
    <n v="313.27"/>
    <n v="20"/>
    <n v="3445.97"/>
    <n v="689.19"/>
    <n v="2756.78"/>
    <n v="1196.6600000000001"/>
    <n v="1560.12"/>
    <n v="56.6"/>
    <x v="2"/>
    <n v="4"/>
  </r>
  <r>
    <s v="ORD-10452"/>
    <x v="152"/>
    <s v="Jun 2024"/>
    <x v="1"/>
    <n v="2024"/>
    <x v="0"/>
    <x v="7"/>
    <x v="1"/>
    <x v="4"/>
    <s v="Electronics Item 12"/>
    <n v="3"/>
    <n v="800.14"/>
    <n v="20"/>
    <n v="2400.42"/>
    <n v="480.08"/>
    <n v="1920.34"/>
    <n v="800.07"/>
    <n v="1120.27"/>
    <n v="58.3"/>
    <x v="0"/>
    <n v="3"/>
  </r>
  <r>
    <s v="ORD-10453"/>
    <x v="152"/>
    <s v="Jun 2024"/>
    <x v="1"/>
    <n v="2024"/>
    <x v="1"/>
    <x v="6"/>
    <x v="0"/>
    <x v="2"/>
    <s v="Food &amp; Beverage Item 13"/>
    <n v="18"/>
    <n v="22.42"/>
    <n v="0"/>
    <n v="403.56"/>
    <n v="0"/>
    <n v="403.56"/>
    <n v="211.06"/>
    <n v="192.5"/>
    <n v="47.7"/>
    <x v="2"/>
    <n v="5"/>
  </r>
  <r>
    <s v="ORD-10454"/>
    <x v="152"/>
    <s v="Jun 2024"/>
    <x v="1"/>
    <n v="2024"/>
    <x v="2"/>
    <x v="2"/>
    <x v="2"/>
    <x v="1"/>
    <s v="Clothing Item 05"/>
    <n v="15"/>
    <n v="151.66"/>
    <n v="0"/>
    <n v="2274.9"/>
    <n v="0"/>
    <n v="2274.9"/>
    <n v="833.17"/>
    <n v="1441.73"/>
    <n v="63.4"/>
    <x v="2"/>
    <n v="1"/>
  </r>
  <r>
    <s v="ORD-10455"/>
    <x v="152"/>
    <s v="Jun 2024"/>
    <x v="1"/>
    <n v="2024"/>
    <x v="0"/>
    <x v="6"/>
    <x v="3"/>
    <x v="2"/>
    <s v="Food &amp; Beverage Item 25"/>
    <n v="1"/>
    <n v="68.77"/>
    <n v="20"/>
    <n v="68.77"/>
    <n v="13.75"/>
    <n v="55.02"/>
    <n v="32.450000000000003"/>
    <n v="22.57"/>
    <n v="41"/>
    <x v="2"/>
    <n v="4"/>
  </r>
  <r>
    <s v="ORD-10456"/>
    <x v="153"/>
    <s v="Jun 2024"/>
    <x v="1"/>
    <n v="2024"/>
    <x v="0"/>
    <x v="3"/>
    <x v="0"/>
    <x v="2"/>
    <s v="Food &amp; Beverage Item 19"/>
    <n v="12"/>
    <n v="7.8"/>
    <n v="0"/>
    <n v="93.6"/>
    <n v="0"/>
    <n v="93.6"/>
    <n v="46.19"/>
    <n v="47.41"/>
    <n v="50.7"/>
    <x v="2"/>
    <n v="2"/>
  </r>
  <r>
    <s v="ORD-10457"/>
    <x v="153"/>
    <s v="Jun 2024"/>
    <x v="1"/>
    <n v="2024"/>
    <x v="3"/>
    <x v="2"/>
    <x v="3"/>
    <x v="0"/>
    <s v="Beauty Item 14"/>
    <n v="7"/>
    <n v="139.01"/>
    <n v="15"/>
    <n v="973.07"/>
    <n v="145.96"/>
    <n v="827.11"/>
    <n v="423.67"/>
    <n v="403.44"/>
    <n v="48.8"/>
    <x v="0"/>
    <n v="4"/>
  </r>
  <r>
    <s v="ORD-10458"/>
    <x v="153"/>
    <s v="Jun 2024"/>
    <x v="1"/>
    <n v="2024"/>
    <x v="1"/>
    <x v="8"/>
    <x v="3"/>
    <x v="4"/>
    <s v="Electronics Item 15"/>
    <n v="10"/>
    <n v="530.57000000000005"/>
    <n v="15"/>
    <n v="5305.7"/>
    <n v="795.85"/>
    <n v="4509.8500000000004"/>
    <n v="2258.27"/>
    <n v="2251.58"/>
    <n v="49.9"/>
    <x v="2"/>
    <n v="5"/>
  </r>
  <r>
    <s v="ORD-10459"/>
    <x v="153"/>
    <s v="Jun 2024"/>
    <x v="1"/>
    <n v="2024"/>
    <x v="0"/>
    <x v="2"/>
    <x v="2"/>
    <x v="4"/>
    <s v="Electronics Item 19"/>
    <n v="19"/>
    <n v="1013.25"/>
    <n v="0"/>
    <n v="19251.75"/>
    <n v="0"/>
    <n v="19251.75"/>
    <n v="9012.0300000000007"/>
    <n v="10239.719999999999"/>
    <n v="53.2"/>
    <x v="0"/>
    <n v="1"/>
  </r>
  <r>
    <s v="ORD-10460"/>
    <x v="153"/>
    <s v="Jun 2024"/>
    <x v="1"/>
    <n v="2024"/>
    <x v="3"/>
    <x v="7"/>
    <x v="2"/>
    <x v="3"/>
    <s v="Home &amp; Garden Item 43"/>
    <n v="10"/>
    <n v="468.28"/>
    <n v="0"/>
    <n v="4682.8"/>
    <n v="0"/>
    <n v="4682.8"/>
    <n v="2603.1799999999998"/>
    <n v="2079.62"/>
    <n v="44.4"/>
    <x v="1"/>
    <n v="1"/>
  </r>
  <r>
    <s v="ORD-10461"/>
    <x v="154"/>
    <s v="Jun 2024"/>
    <x v="1"/>
    <n v="2024"/>
    <x v="1"/>
    <x v="1"/>
    <x v="2"/>
    <x v="1"/>
    <s v="Clothing Item 34"/>
    <n v="20"/>
    <n v="21.72"/>
    <n v="0"/>
    <n v="434.4"/>
    <n v="0"/>
    <n v="434.4"/>
    <n v="174.82"/>
    <n v="259.58"/>
    <n v="59.8"/>
    <x v="2"/>
    <n v="2"/>
  </r>
  <r>
    <s v="ORD-10462"/>
    <x v="155"/>
    <s v="Jun 2024"/>
    <x v="1"/>
    <n v="2024"/>
    <x v="4"/>
    <x v="3"/>
    <x v="0"/>
    <x v="1"/>
    <s v="Clothing Item 05"/>
    <n v="8"/>
    <n v="169.7"/>
    <n v="5"/>
    <n v="1357.6"/>
    <n v="67.88"/>
    <n v="1289.72"/>
    <n v="829.23"/>
    <n v="460.49"/>
    <n v="35.700000000000003"/>
    <x v="2"/>
    <n v="2"/>
  </r>
  <r>
    <s v="ORD-10463"/>
    <x v="156"/>
    <s v="Jun 2024"/>
    <x v="1"/>
    <n v="2024"/>
    <x v="1"/>
    <x v="4"/>
    <x v="3"/>
    <x v="0"/>
    <s v="Beauty Item 30"/>
    <n v="15"/>
    <n v="120.31"/>
    <n v="10"/>
    <n v="1804.65"/>
    <n v="180.47"/>
    <n v="1624.18"/>
    <n v="908.69"/>
    <n v="715.49"/>
    <n v="44.1"/>
    <x v="2"/>
    <n v="4"/>
  </r>
  <r>
    <s v="ORD-10464"/>
    <x v="157"/>
    <s v="Jun 2024"/>
    <x v="1"/>
    <n v="2024"/>
    <x v="4"/>
    <x v="1"/>
    <x v="2"/>
    <x v="1"/>
    <s v="Clothing Item 04"/>
    <n v="12"/>
    <n v="49.47"/>
    <n v="0"/>
    <n v="593.64"/>
    <n v="0"/>
    <n v="593.64"/>
    <n v="289.70999999999998"/>
    <n v="303.93"/>
    <n v="51.2"/>
    <x v="2"/>
    <n v="5"/>
  </r>
  <r>
    <s v="ORD-10465"/>
    <x v="157"/>
    <s v="Jun 2024"/>
    <x v="1"/>
    <n v="2024"/>
    <x v="4"/>
    <x v="3"/>
    <x v="2"/>
    <x v="4"/>
    <s v="Electronics Item 24"/>
    <n v="19"/>
    <n v="911.35"/>
    <n v="15"/>
    <n v="17315.650000000001"/>
    <n v="2597.35"/>
    <n v="14718.3"/>
    <n v="8194.61"/>
    <n v="6523.69"/>
    <n v="44.3"/>
    <x v="2"/>
    <n v="2"/>
  </r>
  <r>
    <s v="ORD-10466"/>
    <x v="158"/>
    <s v="Jun 2024"/>
    <x v="1"/>
    <n v="2024"/>
    <x v="1"/>
    <x v="0"/>
    <x v="2"/>
    <x v="0"/>
    <s v="Beauty Item 34"/>
    <n v="16"/>
    <n v="132.12"/>
    <n v="0"/>
    <n v="2113.92"/>
    <n v="0"/>
    <n v="2113.92"/>
    <n v="747.37"/>
    <n v="1366.55"/>
    <n v="64.599999999999994"/>
    <x v="2"/>
    <n v="5"/>
  </r>
  <r>
    <s v="ORD-10467"/>
    <x v="158"/>
    <s v="Jun 2024"/>
    <x v="1"/>
    <n v="2024"/>
    <x v="1"/>
    <x v="2"/>
    <x v="2"/>
    <x v="1"/>
    <s v="Clothing Item 01"/>
    <n v="7"/>
    <n v="68.55"/>
    <n v="0"/>
    <n v="479.85"/>
    <n v="0"/>
    <n v="479.85"/>
    <n v="198.29"/>
    <n v="281.56"/>
    <n v="58.7"/>
    <x v="2"/>
    <n v="4"/>
  </r>
  <r>
    <s v="ORD-10468"/>
    <x v="159"/>
    <s v="Jun 2024"/>
    <x v="1"/>
    <n v="2024"/>
    <x v="3"/>
    <x v="4"/>
    <x v="1"/>
    <x v="0"/>
    <s v="Beauty Item 11"/>
    <n v="18"/>
    <n v="15.25"/>
    <n v="20"/>
    <n v="274.5"/>
    <n v="54.9"/>
    <n v="219.6"/>
    <n v="115.14"/>
    <n v="104.46"/>
    <n v="47.6"/>
    <x v="2"/>
    <n v="2"/>
  </r>
  <r>
    <s v="ORD-10469"/>
    <x v="159"/>
    <s v="Jun 2024"/>
    <x v="1"/>
    <n v="2024"/>
    <x v="1"/>
    <x v="9"/>
    <x v="3"/>
    <x v="1"/>
    <s v="Clothing Item 21"/>
    <n v="8"/>
    <n v="70.2"/>
    <n v="0"/>
    <n v="561.6"/>
    <n v="0"/>
    <n v="561.6"/>
    <n v="251.39"/>
    <n v="310.20999999999998"/>
    <n v="55.2"/>
    <x v="2"/>
    <n v="3"/>
  </r>
  <r>
    <s v="ORD-10470"/>
    <x v="159"/>
    <s v="Jun 2024"/>
    <x v="1"/>
    <n v="2024"/>
    <x v="2"/>
    <x v="6"/>
    <x v="3"/>
    <x v="1"/>
    <s v="Clothing Item 27"/>
    <n v="5"/>
    <n v="126.51"/>
    <n v="0"/>
    <n v="632.54999999999995"/>
    <n v="0"/>
    <n v="632.54999999999995"/>
    <n v="337.68"/>
    <n v="294.87"/>
    <n v="46.6"/>
    <x v="2"/>
    <n v="2"/>
  </r>
  <r>
    <s v="ORD-10471"/>
    <x v="160"/>
    <s v="Jun 2024"/>
    <x v="1"/>
    <n v="2024"/>
    <x v="0"/>
    <x v="6"/>
    <x v="2"/>
    <x v="3"/>
    <s v="Home &amp; Garden Item 26"/>
    <n v="1"/>
    <n v="465.66"/>
    <n v="0"/>
    <n v="465.66"/>
    <n v="0"/>
    <n v="465.66"/>
    <n v="199.26"/>
    <n v="266.39999999999998"/>
    <n v="57.2"/>
    <x v="2"/>
    <n v="2"/>
  </r>
  <r>
    <s v="ORD-10472"/>
    <x v="161"/>
    <s v="Jun 2024"/>
    <x v="1"/>
    <n v="2024"/>
    <x v="1"/>
    <x v="3"/>
    <x v="0"/>
    <x v="1"/>
    <s v="Clothing Item 11"/>
    <n v="14"/>
    <n v="76.98"/>
    <n v="5"/>
    <n v="1077.72"/>
    <n v="53.89"/>
    <n v="1023.83"/>
    <n v="526.83000000000004"/>
    <n v="497"/>
    <n v="48.5"/>
    <x v="1"/>
    <n v="5"/>
  </r>
  <r>
    <s v="ORD-10473"/>
    <x v="161"/>
    <s v="Jun 2024"/>
    <x v="1"/>
    <n v="2024"/>
    <x v="4"/>
    <x v="7"/>
    <x v="3"/>
    <x v="0"/>
    <s v="Beauty Item 08"/>
    <n v="1"/>
    <n v="73.61"/>
    <n v="5"/>
    <n v="73.61"/>
    <n v="3.68"/>
    <n v="69.930000000000007"/>
    <n v="29.45"/>
    <n v="40.479999999999997"/>
    <n v="57.9"/>
    <x v="2"/>
    <n v="1"/>
  </r>
  <r>
    <s v="ORD-10474"/>
    <x v="161"/>
    <s v="Jun 2024"/>
    <x v="1"/>
    <n v="2024"/>
    <x v="4"/>
    <x v="9"/>
    <x v="0"/>
    <x v="4"/>
    <s v="Electronics Item 09"/>
    <n v="8"/>
    <n v="787.51"/>
    <n v="5"/>
    <n v="6300.08"/>
    <n v="315"/>
    <n v="5985.08"/>
    <n v="2941.09"/>
    <n v="3043.99"/>
    <n v="50.9"/>
    <x v="1"/>
    <n v="3"/>
  </r>
  <r>
    <s v="ORD-10475"/>
    <x v="161"/>
    <s v="Jun 2024"/>
    <x v="1"/>
    <n v="2024"/>
    <x v="1"/>
    <x v="0"/>
    <x v="2"/>
    <x v="3"/>
    <s v="Home &amp; Garden Item 35"/>
    <n v="18"/>
    <n v="271.67"/>
    <n v="0"/>
    <n v="4890.0600000000004"/>
    <n v="0"/>
    <n v="4890.0600000000004"/>
    <n v="2610.9299999999998"/>
    <n v="2279.13"/>
    <n v="46.6"/>
    <x v="2"/>
    <n v="3"/>
  </r>
  <r>
    <s v="ORD-10476"/>
    <x v="161"/>
    <s v="Jun 2024"/>
    <x v="1"/>
    <n v="2024"/>
    <x v="0"/>
    <x v="5"/>
    <x v="2"/>
    <x v="1"/>
    <s v="Clothing Item 27"/>
    <n v="12"/>
    <n v="179.51"/>
    <n v="20"/>
    <n v="2154.12"/>
    <n v="430.82"/>
    <n v="1723.3"/>
    <n v="792.33"/>
    <n v="930.97"/>
    <n v="54"/>
    <x v="2"/>
    <n v="1"/>
  </r>
  <r>
    <s v="ORD-10477"/>
    <x v="162"/>
    <s v="Jun 2024"/>
    <x v="1"/>
    <n v="2024"/>
    <x v="0"/>
    <x v="0"/>
    <x v="3"/>
    <x v="1"/>
    <s v="Clothing Item 31"/>
    <n v="1"/>
    <n v="39.83"/>
    <n v="5"/>
    <n v="39.83"/>
    <n v="1.99"/>
    <n v="37.840000000000003"/>
    <n v="18.91"/>
    <n v="18.93"/>
    <n v="50"/>
    <x v="2"/>
    <n v="3"/>
  </r>
  <r>
    <s v="ORD-10478"/>
    <x v="162"/>
    <s v="Jun 2024"/>
    <x v="1"/>
    <n v="2024"/>
    <x v="3"/>
    <x v="9"/>
    <x v="2"/>
    <x v="0"/>
    <s v="Beauty Item 48"/>
    <n v="11"/>
    <n v="80.59"/>
    <n v="15"/>
    <n v="886.49"/>
    <n v="132.97"/>
    <n v="753.52"/>
    <n v="311.32"/>
    <n v="442.2"/>
    <n v="58.7"/>
    <x v="0"/>
    <n v="3"/>
  </r>
  <r>
    <s v="ORD-10479"/>
    <x v="163"/>
    <s v="Jun 2024"/>
    <x v="1"/>
    <n v="2024"/>
    <x v="3"/>
    <x v="0"/>
    <x v="0"/>
    <x v="3"/>
    <s v="Home &amp; Garden Item 05"/>
    <n v="1"/>
    <n v="150.96"/>
    <n v="20"/>
    <n v="150.96"/>
    <n v="30.19"/>
    <n v="120.77"/>
    <n v="67.66"/>
    <n v="53.11"/>
    <n v="44"/>
    <x v="2"/>
    <n v="5"/>
  </r>
  <r>
    <s v="ORD-10480"/>
    <x v="163"/>
    <s v="Jun 2024"/>
    <x v="1"/>
    <n v="2024"/>
    <x v="3"/>
    <x v="9"/>
    <x v="2"/>
    <x v="1"/>
    <s v="Clothing Item 25"/>
    <n v="13"/>
    <n v="164.63"/>
    <n v="5"/>
    <n v="2140.19"/>
    <n v="107.01"/>
    <n v="2033.18"/>
    <n v="938.7"/>
    <n v="1094.48"/>
    <n v="53.8"/>
    <x v="0"/>
    <n v="1"/>
  </r>
  <r>
    <s v="ORD-10481"/>
    <x v="164"/>
    <s v="Jun 2024"/>
    <x v="1"/>
    <n v="2024"/>
    <x v="0"/>
    <x v="7"/>
    <x v="2"/>
    <x v="4"/>
    <s v="Electronics Item 14"/>
    <n v="10"/>
    <n v="430.29"/>
    <n v="20"/>
    <n v="4302.8999999999996"/>
    <n v="860.58"/>
    <n v="3442.32"/>
    <n v="2087.0700000000002"/>
    <n v="1355.25"/>
    <n v="39.4"/>
    <x v="1"/>
    <n v="4"/>
  </r>
  <r>
    <s v="ORD-10482"/>
    <x v="164"/>
    <s v="Jun 2024"/>
    <x v="1"/>
    <n v="2024"/>
    <x v="4"/>
    <x v="8"/>
    <x v="3"/>
    <x v="2"/>
    <s v="Food &amp; Beverage Item 09"/>
    <n v="4"/>
    <n v="59.83"/>
    <n v="5"/>
    <n v="239.32"/>
    <n v="11.97"/>
    <n v="227.35"/>
    <n v="98.64"/>
    <n v="128.71"/>
    <n v="56.6"/>
    <x v="2"/>
    <n v="4"/>
  </r>
  <r>
    <s v="ORD-10483"/>
    <x v="164"/>
    <s v="Jun 2024"/>
    <x v="1"/>
    <n v="2024"/>
    <x v="3"/>
    <x v="9"/>
    <x v="1"/>
    <x v="4"/>
    <s v="Electronics Item 14"/>
    <n v="7"/>
    <n v="795.53"/>
    <n v="15"/>
    <n v="5568.71"/>
    <n v="835.31"/>
    <n v="4733.3999999999996"/>
    <n v="1912.14"/>
    <n v="2821.26"/>
    <n v="59.6"/>
    <x v="0"/>
    <n v="4"/>
  </r>
  <r>
    <s v="ORD-10484"/>
    <x v="164"/>
    <s v="Jun 2024"/>
    <x v="1"/>
    <n v="2024"/>
    <x v="1"/>
    <x v="9"/>
    <x v="0"/>
    <x v="1"/>
    <s v="Clothing Item 20"/>
    <n v="17"/>
    <n v="147.94"/>
    <n v="20"/>
    <n v="2514.98"/>
    <n v="503"/>
    <n v="2011.98"/>
    <n v="783.35"/>
    <n v="1228.6300000000001"/>
    <n v="61.1"/>
    <x v="2"/>
    <n v="4"/>
  </r>
  <r>
    <s v="ORD-10485"/>
    <x v="165"/>
    <s v="Jun 2024"/>
    <x v="1"/>
    <n v="2024"/>
    <x v="3"/>
    <x v="8"/>
    <x v="1"/>
    <x v="4"/>
    <s v="Electronics Item 28"/>
    <n v="8"/>
    <n v="66.2"/>
    <n v="0"/>
    <n v="529.6"/>
    <n v="0"/>
    <n v="529.6"/>
    <n v="276.86"/>
    <n v="252.74"/>
    <n v="47.7"/>
    <x v="0"/>
    <n v="3"/>
  </r>
  <r>
    <s v="ORD-10486"/>
    <x v="165"/>
    <s v="Jun 2024"/>
    <x v="1"/>
    <n v="2024"/>
    <x v="1"/>
    <x v="4"/>
    <x v="2"/>
    <x v="3"/>
    <s v="Home &amp; Garden Item 46"/>
    <n v="14"/>
    <n v="181.81"/>
    <n v="0"/>
    <n v="2545.34"/>
    <n v="0"/>
    <n v="2545.34"/>
    <n v="1065.4000000000001"/>
    <n v="1479.94"/>
    <n v="58.1"/>
    <x v="2"/>
    <n v="3"/>
  </r>
  <r>
    <s v="ORD-10487"/>
    <x v="166"/>
    <s v="Jun 2024"/>
    <x v="1"/>
    <n v="2024"/>
    <x v="1"/>
    <x v="3"/>
    <x v="0"/>
    <x v="1"/>
    <s v="Clothing Item 43"/>
    <n v="16"/>
    <n v="69.58"/>
    <n v="0"/>
    <n v="1113.28"/>
    <n v="0"/>
    <n v="1113.28"/>
    <n v="423"/>
    <n v="690.28"/>
    <n v="62"/>
    <x v="0"/>
    <n v="5"/>
  </r>
  <r>
    <s v="ORD-10488"/>
    <x v="166"/>
    <s v="Jun 2024"/>
    <x v="1"/>
    <n v="2024"/>
    <x v="4"/>
    <x v="1"/>
    <x v="2"/>
    <x v="0"/>
    <s v="Beauty Item 31"/>
    <n v="2"/>
    <n v="104.42"/>
    <n v="15"/>
    <n v="208.84"/>
    <n v="31.33"/>
    <n v="177.51"/>
    <n v="76.5"/>
    <n v="101.01"/>
    <n v="56.9"/>
    <x v="2"/>
    <n v="4"/>
  </r>
  <r>
    <s v="ORD-10489"/>
    <x v="166"/>
    <s v="Jun 2024"/>
    <x v="1"/>
    <n v="2024"/>
    <x v="1"/>
    <x v="2"/>
    <x v="1"/>
    <x v="3"/>
    <s v="Home &amp; Garden Item 11"/>
    <n v="5"/>
    <n v="112.72"/>
    <n v="15"/>
    <n v="563.6"/>
    <n v="84.54"/>
    <n v="479.06"/>
    <n v="201.56"/>
    <n v="277.5"/>
    <n v="57.9"/>
    <x v="0"/>
    <n v="5"/>
  </r>
  <r>
    <s v="ORD-10490"/>
    <x v="166"/>
    <s v="Jun 2024"/>
    <x v="1"/>
    <n v="2024"/>
    <x v="3"/>
    <x v="4"/>
    <x v="1"/>
    <x v="4"/>
    <s v="Electronics Item 39"/>
    <n v="9"/>
    <n v="752.6"/>
    <n v="0"/>
    <n v="6773.4"/>
    <n v="0"/>
    <n v="6773.4"/>
    <n v="3248.97"/>
    <n v="3524.43"/>
    <n v="52"/>
    <x v="2"/>
    <n v="3"/>
  </r>
  <r>
    <s v="ORD-10491"/>
    <x v="166"/>
    <s v="Jun 2024"/>
    <x v="1"/>
    <n v="2024"/>
    <x v="4"/>
    <x v="0"/>
    <x v="0"/>
    <x v="1"/>
    <s v="Clothing Item 37"/>
    <n v="3"/>
    <n v="133.16"/>
    <n v="20"/>
    <n v="399.48"/>
    <n v="79.900000000000006"/>
    <n v="319.58"/>
    <n v="148.37"/>
    <n v="171.21"/>
    <n v="53.6"/>
    <x v="2"/>
    <n v="1"/>
  </r>
  <r>
    <s v="ORD-10492"/>
    <x v="167"/>
    <s v="Jun 2024"/>
    <x v="1"/>
    <n v="2024"/>
    <x v="4"/>
    <x v="4"/>
    <x v="2"/>
    <x v="3"/>
    <s v="Home &amp; Garden Item 20"/>
    <n v="2"/>
    <n v="214.64"/>
    <n v="0"/>
    <n v="429.28"/>
    <n v="0"/>
    <n v="429.28"/>
    <n v="169.03"/>
    <n v="260.25"/>
    <n v="60.6"/>
    <x v="2"/>
    <n v="2"/>
  </r>
  <r>
    <s v="ORD-10493"/>
    <x v="168"/>
    <s v="Jun 2024"/>
    <x v="1"/>
    <n v="2024"/>
    <x v="0"/>
    <x v="8"/>
    <x v="1"/>
    <x v="4"/>
    <s v="Electronics Item 38"/>
    <n v="8"/>
    <n v="541.86"/>
    <n v="0"/>
    <n v="4334.88"/>
    <n v="0"/>
    <n v="4334.88"/>
    <n v="2764.55"/>
    <n v="1570.33"/>
    <n v="36.200000000000003"/>
    <x v="2"/>
    <n v="4"/>
  </r>
  <r>
    <s v="ORD-10494"/>
    <x v="168"/>
    <s v="Jun 2024"/>
    <x v="1"/>
    <n v="2024"/>
    <x v="1"/>
    <x v="5"/>
    <x v="0"/>
    <x v="1"/>
    <s v="Clothing Item 13"/>
    <n v="17"/>
    <n v="75.67"/>
    <n v="5"/>
    <n v="1286.3900000000001"/>
    <n v="64.319999999999993"/>
    <n v="1222.07"/>
    <n v="482.55"/>
    <n v="739.52"/>
    <n v="60.5"/>
    <x v="1"/>
    <n v="4"/>
  </r>
  <r>
    <s v="ORD-10495"/>
    <x v="168"/>
    <s v="Jun 2024"/>
    <x v="1"/>
    <n v="2024"/>
    <x v="3"/>
    <x v="0"/>
    <x v="2"/>
    <x v="2"/>
    <s v="Food &amp; Beverage Item 33"/>
    <n v="14"/>
    <n v="35.06"/>
    <n v="10"/>
    <n v="490.84"/>
    <n v="49.08"/>
    <n v="441.76"/>
    <n v="261.39"/>
    <n v="180.37"/>
    <n v="40.799999999999997"/>
    <x v="2"/>
    <n v="3"/>
  </r>
  <r>
    <s v="ORD-10496"/>
    <x v="169"/>
    <s v="Jun 2024"/>
    <x v="1"/>
    <n v="2024"/>
    <x v="1"/>
    <x v="0"/>
    <x v="2"/>
    <x v="5"/>
    <s v="Sports Item 46"/>
    <n v="12"/>
    <n v="60.77"/>
    <n v="5"/>
    <n v="729.24"/>
    <n v="36.46"/>
    <n v="692.78"/>
    <n v="279.18"/>
    <n v="413.6"/>
    <n v="59.7"/>
    <x v="2"/>
    <n v="2"/>
  </r>
  <r>
    <s v="ORD-10497"/>
    <x v="170"/>
    <s v="Jun 2024"/>
    <x v="1"/>
    <n v="2024"/>
    <x v="3"/>
    <x v="5"/>
    <x v="0"/>
    <x v="0"/>
    <s v="Beauty Item 44"/>
    <n v="15"/>
    <n v="147.44"/>
    <n v="20"/>
    <n v="2211.6"/>
    <n v="442.32"/>
    <n v="1769.28"/>
    <n v="884.43"/>
    <n v="884.85"/>
    <n v="50"/>
    <x v="0"/>
    <n v="5"/>
  </r>
  <r>
    <s v="ORD-10498"/>
    <x v="171"/>
    <s v="Jun 2024"/>
    <x v="1"/>
    <n v="2024"/>
    <x v="2"/>
    <x v="6"/>
    <x v="2"/>
    <x v="4"/>
    <s v="Electronics Item 30"/>
    <n v="3"/>
    <n v="599.07000000000005"/>
    <n v="10"/>
    <n v="1797.21"/>
    <n v="179.72"/>
    <n v="1617.49"/>
    <n v="1049.21"/>
    <n v="568.28"/>
    <n v="35.1"/>
    <x v="0"/>
    <n v="5"/>
  </r>
  <r>
    <s v="ORD-10499"/>
    <x v="171"/>
    <s v="Jun 2024"/>
    <x v="1"/>
    <n v="2024"/>
    <x v="0"/>
    <x v="6"/>
    <x v="1"/>
    <x v="2"/>
    <s v="Food &amp; Beverage Item 18"/>
    <n v="19"/>
    <n v="75.19"/>
    <n v="15"/>
    <n v="1428.61"/>
    <n v="214.29"/>
    <n v="1214.32"/>
    <n v="734.44"/>
    <n v="479.88"/>
    <n v="39.5"/>
    <x v="0"/>
    <n v="2"/>
  </r>
  <r>
    <s v="ORD-10500"/>
    <x v="171"/>
    <s v="Jun 2024"/>
    <x v="1"/>
    <n v="2024"/>
    <x v="4"/>
    <x v="1"/>
    <x v="1"/>
    <x v="4"/>
    <s v="Electronics Item 13"/>
    <n v="4"/>
    <n v="57.85"/>
    <n v="5"/>
    <n v="231.4"/>
    <n v="11.57"/>
    <n v="219.83"/>
    <n v="111.04"/>
    <n v="108.79"/>
    <n v="49.5"/>
    <x v="1"/>
    <n v="5"/>
  </r>
  <r>
    <s v="ORD-10501"/>
    <x v="172"/>
    <s v="Jun 2024"/>
    <x v="1"/>
    <n v="2024"/>
    <x v="0"/>
    <x v="5"/>
    <x v="0"/>
    <x v="5"/>
    <s v="Sports Item 01"/>
    <n v="17"/>
    <n v="168.84"/>
    <n v="0"/>
    <n v="2870.28"/>
    <n v="0"/>
    <n v="2870.28"/>
    <n v="1625.06"/>
    <n v="1245.22"/>
    <n v="43.4"/>
    <x v="1"/>
    <n v="4"/>
  </r>
  <r>
    <s v="ORD-10502"/>
    <x v="172"/>
    <s v="Jun 2024"/>
    <x v="1"/>
    <n v="2024"/>
    <x v="2"/>
    <x v="2"/>
    <x v="3"/>
    <x v="5"/>
    <s v="Sports Item 10"/>
    <n v="5"/>
    <n v="192.53"/>
    <n v="10"/>
    <n v="962.65"/>
    <n v="96.27"/>
    <n v="866.38"/>
    <n v="507.35"/>
    <n v="359.03"/>
    <n v="41.4"/>
    <x v="0"/>
    <n v="4"/>
  </r>
  <r>
    <s v="ORD-10503"/>
    <x v="173"/>
    <s v="Jun 2024"/>
    <x v="1"/>
    <n v="2024"/>
    <x v="0"/>
    <x v="8"/>
    <x v="2"/>
    <x v="3"/>
    <s v="Home &amp; Garden Item 29"/>
    <n v="13"/>
    <n v="148.16"/>
    <n v="5"/>
    <n v="1926.08"/>
    <n v="96.3"/>
    <n v="1829.78"/>
    <n v="805.12"/>
    <n v="1024.6600000000001"/>
    <n v="56"/>
    <x v="2"/>
    <n v="3"/>
  </r>
  <r>
    <s v="ORD-10504"/>
    <x v="173"/>
    <s v="Jun 2024"/>
    <x v="1"/>
    <n v="2024"/>
    <x v="0"/>
    <x v="4"/>
    <x v="1"/>
    <x v="0"/>
    <s v="Beauty Item 05"/>
    <n v="3"/>
    <n v="56.15"/>
    <n v="20"/>
    <n v="168.45"/>
    <n v="33.69"/>
    <n v="134.76"/>
    <n v="69.89"/>
    <n v="64.87"/>
    <n v="48.1"/>
    <x v="2"/>
    <n v="4"/>
  </r>
  <r>
    <s v="ORD-10505"/>
    <x v="173"/>
    <s v="Jun 2024"/>
    <x v="1"/>
    <n v="2024"/>
    <x v="2"/>
    <x v="3"/>
    <x v="1"/>
    <x v="0"/>
    <s v="Beauty Item 26"/>
    <n v="19"/>
    <n v="91.54"/>
    <n v="0"/>
    <n v="1739.26"/>
    <n v="0"/>
    <n v="1739.26"/>
    <n v="905.02"/>
    <n v="834.24"/>
    <n v="48"/>
    <x v="2"/>
    <n v="3"/>
  </r>
  <r>
    <s v="ORD-10506"/>
    <x v="173"/>
    <s v="Jun 2024"/>
    <x v="1"/>
    <n v="2024"/>
    <x v="0"/>
    <x v="9"/>
    <x v="1"/>
    <x v="4"/>
    <s v="Electronics Item 39"/>
    <n v="19"/>
    <n v="708.81"/>
    <n v="10"/>
    <n v="13467.39"/>
    <n v="1346.74"/>
    <n v="12120.65"/>
    <n v="5690.89"/>
    <n v="6429.76"/>
    <n v="53"/>
    <x v="0"/>
    <n v="5"/>
  </r>
  <r>
    <s v="ORD-10507"/>
    <x v="174"/>
    <s v="Jul 2024"/>
    <x v="2"/>
    <n v="2024"/>
    <x v="0"/>
    <x v="1"/>
    <x v="1"/>
    <x v="5"/>
    <s v="Sports Item 16"/>
    <n v="2"/>
    <n v="123.08"/>
    <n v="0"/>
    <n v="246.16"/>
    <n v="0"/>
    <n v="246.16"/>
    <n v="137.15"/>
    <n v="109.01"/>
    <n v="44.3"/>
    <x v="2"/>
    <n v="1"/>
  </r>
  <r>
    <s v="ORD-10508"/>
    <x v="174"/>
    <s v="Jul 2024"/>
    <x v="2"/>
    <n v="2024"/>
    <x v="2"/>
    <x v="6"/>
    <x v="2"/>
    <x v="0"/>
    <s v="Beauty Item 34"/>
    <n v="14"/>
    <n v="60.34"/>
    <n v="20"/>
    <n v="844.76"/>
    <n v="168.95"/>
    <n v="675.81"/>
    <n v="248.71"/>
    <n v="427.1"/>
    <n v="63.2"/>
    <x v="2"/>
    <n v="1"/>
  </r>
  <r>
    <s v="ORD-10509"/>
    <x v="175"/>
    <s v="Jul 2024"/>
    <x v="2"/>
    <n v="2024"/>
    <x v="2"/>
    <x v="0"/>
    <x v="3"/>
    <x v="1"/>
    <s v="Clothing Item 22"/>
    <n v="5"/>
    <n v="58.72"/>
    <n v="15"/>
    <n v="293.60000000000002"/>
    <n v="44.04"/>
    <n v="249.56"/>
    <n v="148.27000000000001"/>
    <n v="101.29"/>
    <n v="40.6"/>
    <x v="2"/>
    <n v="1"/>
  </r>
  <r>
    <s v="ORD-10510"/>
    <x v="176"/>
    <s v="Jul 2024"/>
    <x v="2"/>
    <n v="2024"/>
    <x v="4"/>
    <x v="1"/>
    <x v="2"/>
    <x v="0"/>
    <s v="Beauty Item 37"/>
    <n v="8"/>
    <n v="103.49"/>
    <n v="20"/>
    <n v="827.92"/>
    <n v="165.58"/>
    <n v="662.34"/>
    <n v="326.51"/>
    <n v="335.83"/>
    <n v="50.7"/>
    <x v="1"/>
    <n v="1"/>
  </r>
  <r>
    <s v="ORD-10511"/>
    <x v="176"/>
    <s v="Jul 2024"/>
    <x v="2"/>
    <n v="2024"/>
    <x v="3"/>
    <x v="7"/>
    <x v="2"/>
    <x v="4"/>
    <s v="Electronics Item 32"/>
    <n v="10"/>
    <n v="585.20000000000005"/>
    <n v="15"/>
    <n v="5852"/>
    <n v="877.8"/>
    <n v="4974.2"/>
    <n v="2680.89"/>
    <n v="2293.31"/>
    <n v="46.1"/>
    <x v="0"/>
    <n v="1"/>
  </r>
  <r>
    <s v="ORD-10512"/>
    <x v="176"/>
    <s v="Jul 2024"/>
    <x v="2"/>
    <n v="2024"/>
    <x v="3"/>
    <x v="0"/>
    <x v="0"/>
    <x v="2"/>
    <s v="Food &amp; Beverage Item 30"/>
    <n v="9"/>
    <n v="16.98"/>
    <n v="0"/>
    <n v="152.82"/>
    <n v="0"/>
    <n v="152.82"/>
    <n v="74.11"/>
    <n v="78.709999999999994"/>
    <n v="51.5"/>
    <x v="2"/>
    <n v="5"/>
  </r>
  <r>
    <s v="ORD-10513"/>
    <x v="176"/>
    <s v="Jul 2024"/>
    <x v="2"/>
    <n v="2024"/>
    <x v="2"/>
    <x v="8"/>
    <x v="1"/>
    <x v="2"/>
    <s v="Food &amp; Beverage Item 30"/>
    <n v="11"/>
    <n v="56.46"/>
    <n v="5"/>
    <n v="621.05999999999995"/>
    <n v="31.05"/>
    <n v="590.01"/>
    <n v="265.74"/>
    <n v="324.27"/>
    <n v="55"/>
    <x v="2"/>
    <n v="4"/>
  </r>
  <r>
    <s v="ORD-10514"/>
    <x v="177"/>
    <s v="Jul 2024"/>
    <x v="2"/>
    <n v="2024"/>
    <x v="3"/>
    <x v="0"/>
    <x v="1"/>
    <x v="0"/>
    <s v="Beauty Item 37"/>
    <n v="13"/>
    <n v="139.22999999999999"/>
    <n v="5"/>
    <n v="1809.99"/>
    <n v="90.5"/>
    <n v="1719.49"/>
    <n v="788.02"/>
    <n v="931.47"/>
    <n v="54.2"/>
    <x v="2"/>
    <n v="1"/>
  </r>
  <r>
    <s v="ORD-10515"/>
    <x v="177"/>
    <s v="Jul 2024"/>
    <x v="2"/>
    <n v="2024"/>
    <x v="1"/>
    <x v="5"/>
    <x v="3"/>
    <x v="3"/>
    <s v="Home &amp; Garden Item 03"/>
    <n v="11"/>
    <n v="446.14"/>
    <n v="0"/>
    <n v="4907.54"/>
    <n v="0"/>
    <n v="4907.54"/>
    <n v="2542.62"/>
    <n v="2364.92"/>
    <n v="48.2"/>
    <x v="2"/>
    <n v="4"/>
  </r>
  <r>
    <s v="ORD-10516"/>
    <x v="177"/>
    <s v="Jul 2024"/>
    <x v="2"/>
    <n v="2024"/>
    <x v="1"/>
    <x v="3"/>
    <x v="3"/>
    <x v="5"/>
    <s v="Sports Item 48"/>
    <n v="11"/>
    <n v="313.69"/>
    <n v="5"/>
    <n v="3450.59"/>
    <n v="172.53"/>
    <n v="3278.06"/>
    <n v="2063.71"/>
    <n v="1214.3499999999999"/>
    <n v="37"/>
    <x v="0"/>
    <n v="5"/>
  </r>
  <r>
    <s v="ORD-10517"/>
    <x v="178"/>
    <s v="Jul 2024"/>
    <x v="2"/>
    <n v="2024"/>
    <x v="1"/>
    <x v="4"/>
    <x v="0"/>
    <x v="2"/>
    <s v="Food &amp; Beverage Item 06"/>
    <n v="15"/>
    <n v="56.77"/>
    <n v="5"/>
    <n v="851.55"/>
    <n v="42.58"/>
    <n v="808.97"/>
    <n v="345.68"/>
    <n v="463.29"/>
    <n v="57.3"/>
    <x v="1"/>
    <n v="5"/>
  </r>
  <r>
    <s v="ORD-10518"/>
    <x v="178"/>
    <s v="Jul 2024"/>
    <x v="2"/>
    <n v="2024"/>
    <x v="4"/>
    <x v="6"/>
    <x v="0"/>
    <x v="4"/>
    <s v="Electronics Item 19"/>
    <n v="9"/>
    <n v="784.52"/>
    <n v="0"/>
    <n v="7060.68"/>
    <n v="0"/>
    <n v="7060.68"/>
    <n v="2513.25"/>
    <n v="4547.43"/>
    <n v="64.400000000000006"/>
    <x v="1"/>
    <n v="1"/>
  </r>
  <r>
    <s v="ORD-10519"/>
    <x v="179"/>
    <s v="Jul 2024"/>
    <x v="2"/>
    <n v="2024"/>
    <x v="3"/>
    <x v="5"/>
    <x v="0"/>
    <x v="4"/>
    <s v="Electronics Item 42"/>
    <n v="8"/>
    <n v="1131.73"/>
    <n v="0"/>
    <n v="9053.84"/>
    <n v="0"/>
    <n v="9053.84"/>
    <n v="3498.14"/>
    <n v="5555.7"/>
    <n v="61.4"/>
    <x v="2"/>
    <n v="4"/>
  </r>
  <r>
    <s v="ORD-10520"/>
    <x v="179"/>
    <s v="Jul 2024"/>
    <x v="2"/>
    <n v="2024"/>
    <x v="0"/>
    <x v="2"/>
    <x v="1"/>
    <x v="5"/>
    <s v="Sports Item 30"/>
    <n v="3"/>
    <n v="162.83000000000001"/>
    <n v="0"/>
    <n v="488.49"/>
    <n v="0"/>
    <n v="488.49"/>
    <n v="298.08"/>
    <n v="190.41"/>
    <n v="39"/>
    <x v="1"/>
    <n v="5"/>
  </r>
  <r>
    <s v="ORD-10521"/>
    <x v="179"/>
    <s v="Jul 2024"/>
    <x v="2"/>
    <n v="2024"/>
    <x v="2"/>
    <x v="5"/>
    <x v="1"/>
    <x v="5"/>
    <s v="Sports Item 23"/>
    <n v="7"/>
    <n v="107.82"/>
    <n v="15"/>
    <n v="754.74"/>
    <n v="113.21"/>
    <n v="641.53"/>
    <n v="409.9"/>
    <n v="231.63"/>
    <n v="36.1"/>
    <x v="2"/>
    <n v="5"/>
  </r>
  <r>
    <s v="ORD-10522"/>
    <x v="179"/>
    <s v="Jul 2024"/>
    <x v="2"/>
    <n v="2024"/>
    <x v="3"/>
    <x v="0"/>
    <x v="3"/>
    <x v="5"/>
    <s v="Sports Item 45"/>
    <n v="5"/>
    <n v="384.01"/>
    <n v="0"/>
    <n v="1920.05"/>
    <n v="0"/>
    <n v="1920.05"/>
    <n v="786.62"/>
    <n v="1133.43"/>
    <n v="59"/>
    <x v="1"/>
    <n v="1"/>
  </r>
  <r>
    <s v="ORD-10523"/>
    <x v="180"/>
    <s v="Jul 2024"/>
    <x v="2"/>
    <n v="2024"/>
    <x v="4"/>
    <x v="8"/>
    <x v="3"/>
    <x v="2"/>
    <s v="Food &amp; Beverage Item 46"/>
    <n v="19"/>
    <n v="40.86"/>
    <n v="0"/>
    <n v="776.34"/>
    <n v="0"/>
    <n v="776.34"/>
    <n v="405.85"/>
    <n v="370.49"/>
    <n v="47.7"/>
    <x v="0"/>
    <n v="3"/>
  </r>
  <r>
    <s v="ORD-10524"/>
    <x v="180"/>
    <s v="Jul 2024"/>
    <x v="2"/>
    <n v="2024"/>
    <x v="0"/>
    <x v="3"/>
    <x v="0"/>
    <x v="4"/>
    <s v="Electronics Item 20"/>
    <n v="4"/>
    <n v="573.23"/>
    <n v="15"/>
    <n v="2292.92"/>
    <n v="343.94"/>
    <n v="1948.98"/>
    <n v="1061.69"/>
    <n v="887.29"/>
    <n v="45.5"/>
    <x v="2"/>
    <n v="4"/>
  </r>
  <r>
    <s v="ORD-10525"/>
    <x v="181"/>
    <s v="Jul 2024"/>
    <x v="2"/>
    <n v="2024"/>
    <x v="2"/>
    <x v="4"/>
    <x v="2"/>
    <x v="5"/>
    <s v="Sports Item 26"/>
    <n v="5"/>
    <n v="395.81"/>
    <n v="20"/>
    <n v="1979.05"/>
    <n v="395.81"/>
    <n v="1583.24"/>
    <n v="637.04"/>
    <n v="946.2"/>
    <n v="59.8"/>
    <x v="2"/>
    <n v="2"/>
  </r>
  <r>
    <s v="ORD-10526"/>
    <x v="182"/>
    <s v="Jul 2024"/>
    <x v="2"/>
    <n v="2024"/>
    <x v="0"/>
    <x v="7"/>
    <x v="3"/>
    <x v="2"/>
    <s v="Food &amp; Beverage Item 40"/>
    <n v="4"/>
    <n v="33.020000000000003"/>
    <n v="15"/>
    <n v="132.08000000000001"/>
    <n v="19.809999999999999"/>
    <n v="112.27"/>
    <n v="65.58"/>
    <n v="46.69"/>
    <n v="41.6"/>
    <x v="1"/>
    <n v="2"/>
  </r>
  <r>
    <s v="ORD-10527"/>
    <x v="183"/>
    <s v="Jul 2024"/>
    <x v="2"/>
    <n v="2024"/>
    <x v="2"/>
    <x v="8"/>
    <x v="1"/>
    <x v="5"/>
    <s v="Sports Item 12"/>
    <n v="6"/>
    <n v="288.23"/>
    <n v="10"/>
    <n v="1729.38"/>
    <n v="172.94"/>
    <n v="1556.44"/>
    <n v="710.57"/>
    <n v="845.87"/>
    <n v="54.3"/>
    <x v="0"/>
    <n v="4"/>
  </r>
  <r>
    <s v="ORD-10528"/>
    <x v="183"/>
    <s v="Jul 2024"/>
    <x v="2"/>
    <n v="2024"/>
    <x v="1"/>
    <x v="6"/>
    <x v="3"/>
    <x v="4"/>
    <s v="Electronics Item 27"/>
    <n v="15"/>
    <n v="1099.72"/>
    <n v="20"/>
    <n v="16495.8"/>
    <n v="3299.16"/>
    <n v="13196.64"/>
    <n v="7283.99"/>
    <n v="5912.65"/>
    <n v="44.8"/>
    <x v="2"/>
    <n v="5"/>
  </r>
  <r>
    <s v="ORD-10529"/>
    <x v="183"/>
    <s v="Jul 2024"/>
    <x v="2"/>
    <n v="2024"/>
    <x v="2"/>
    <x v="8"/>
    <x v="1"/>
    <x v="4"/>
    <s v="Electronics Item 16"/>
    <n v="15"/>
    <n v="920.95"/>
    <n v="15"/>
    <n v="13814.25"/>
    <n v="2072.14"/>
    <n v="11742.11"/>
    <n v="5827"/>
    <n v="5915.11"/>
    <n v="50.4"/>
    <x v="2"/>
    <n v="4"/>
  </r>
  <r>
    <s v="ORD-10530"/>
    <x v="183"/>
    <s v="Jul 2024"/>
    <x v="2"/>
    <n v="2024"/>
    <x v="2"/>
    <x v="4"/>
    <x v="2"/>
    <x v="3"/>
    <s v="Home &amp; Garden Item 12"/>
    <n v="11"/>
    <n v="404.96"/>
    <n v="10"/>
    <n v="4454.5600000000004"/>
    <n v="445.46"/>
    <n v="4009.1"/>
    <n v="2289.0300000000002"/>
    <n v="1720.07"/>
    <n v="42.9"/>
    <x v="2"/>
    <n v="1"/>
  </r>
  <r>
    <s v="ORD-10531"/>
    <x v="183"/>
    <s v="Jul 2024"/>
    <x v="2"/>
    <n v="2024"/>
    <x v="4"/>
    <x v="3"/>
    <x v="0"/>
    <x v="0"/>
    <s v="Beauty Item 40"/>
    <n v="14"/>
    <n v="125.58"/>
    <n v="15"/>
    <n v="1758.12"/>
    <n v="263.72000000000003"/>
    <n v="1494.4"/>
    <n v="921.88"/>
    <n v="572.52"/>
    <n v="38.299999999999997"/>
    <x v="2"/>
    <n v="2"/>
  </r>
  <r>
    <s v="ORD-10532"/>
    <x v="183"/>
    <s v="Jul 2024"/>
    <x v="2"/>
    <n v="2024"/>
    <x v="4"/>
    <x v="4"/>
    <x v="0"/>
    <x v="1"/>
    <s v="Clothing Item 47"/>
    <n v="4"/>
    <n v="155.94"/>
    <n v="10"/>
    <n v="623.76"/>
    <n v="62.38"/>
    <n v="561.38"/>
    <n v="260.66000000000003"/>
    <n v="300.72000000000003"/>
    <n v="53.6"/>
    <x v="1"/>
    <n v="4"/>
  </r>
  <r>
    <s v="ORD-10533"/>
    <x v="183"/>
    <s v="Jul 2024"/>
    <x v="2"/>
    <n v="2024"/>
    <x v="4"/>
    <x v="2"/>
    <x v="0"/>
    <x v="4"/>
    <s v="Electronics Item 28"/>
    <n v="18"/>
    <n v="832.39"/>
    <n v="0"/>
    <n v="14983.02"/>
    <n v="0"/>
    <n v="14983.02"/>
    <n v="6531.95"/>
    <n v="8451.07"/>
    <n v="56.4"/>
    <x v="2"/>
    <n v="1"/>
  </r>
  <r>
    <s v="ORD-10534"/>
    <x v="183"/>
    <s v="Jul 2024"/>
    <x v="2"/>
    <n v="2024"/>
    <x v="3"/>
    <x v="7"/>
    <x v="3"/>
    <x v="1"/>
    <s v="Clothing Item 30"/>
    <n v="12"/>
    <n v="125.23"/>
    <n v="15"/>
    <n v="1502.76"/>
    <n v="225.41"/>
    <n v="1277.3499999999999"/>
    <n v="689.15"/>
    <n v="588.20000000000005"/>
    <n v="46"/>
    <x v="2"/>
    <n v="3"/>
  </r>
  <r>
    <s v="ORD-10535"/>
    <x v="183"/>
    <s v="Jul 2024"/>
    <x v="2"/>
    <n v="2024"/>
    <x v="1"/>
    <x v="7"/>
    <x v="0"/>
    <x v="3"/>
    <s v="Home &amp; Garden Item 25"/>
    <n v="7"/>
    <n v="397.94"/>
    <n v="20"/>
    <n v="2785.58"/>
    <n v="557.12"/>
    <n v="2228.46"/>
    <n v="876.8"/>
    <n v="1351.66"/>
    <n v="60.7"/>
    <x v="2"/>
    <n v="4"/>
  </r>
  <r>
    <s v="ORD-10536"/>
    <x v="183"/>
    <s v="Jul 2024"/>
    <x v="2"/>
    <n v="2024"/>
    <x v="1"/>
    <x v="5"/>
    <x v="1"/>
    <x v="0"/>
    <s v="Beauty Item 43"/>
    <n v="15"/>
    <n v="83.57"/>
    <n v="0"/>
    <n v="1253.55"/>
    <n v="0"/>
    <n v="1253.55"/>
    <n v="501.76"/>
    <n v="751.79"/>
    <n v="60"/>
    <x v="2"/>
    <n v="4"/>
  </r>
  <r>
    <s v="ORD-10537"/>
    <x v="184"/>
    <s v="Jul 2024"/>
    <x v="2"/>
    <n v="2024"/>
    <x v="2"/>
    <x v="8"/>
    <x v="3"/>
    <x v="2"/>
    <s v="Food &amp; Beverage Item 12"/>
    <n v="10"/>
    <n v="44.61"/>
    <n v="10"/>
    <n v="446.1"/>
    <n v="44.61"/>
    <n v="401.49"/>
    <n v="237.81"/>
    <n v="163.68"/>
    <n v="40.799999999999997"/>
    <x v="2"/>
    <n v="4"/>
  </r>
  <r>
    <s v="ORD-10538"/>
    <x v="184"/>
    <s v="Jul 2024"/>
    <x v="2"/>
    <n v="2024"/>
    <x v="4"/>
    <x v="8"/>
    <x v="3"/>
    <x v="0"/>
    <s v="Beauty Item 45"/>
    <n v="15"/>
    <n v="60.65"/>
    <n v="10"/>
    <n v="909.75"/>
    <n v="90.98"/>
    <n v="818.77"/>
    <n v="369.44"/>
    <n v="449.33"/>
    <n v="54.9"/>
    <x v="2"/>
    <n v="1"/>
  </r>
  <r>
    <s v="ORD-10539"/>
    <x v="185"/>
    <s v="Jul 2024"/>
    <x v="2"/>
    <n v="2024"/>
    <x v="1"/>
    <x v="4"/>
    <x v="2"/>
    <x v="0"/>
    <s v="Beauty Item 37"/>
    <n v="9"/>
    <n v="138.41"/>
    <n v="15"/>
    <n v="1245.69"/>
    <n v="186.85"/>
    <n v="1058.8399999999999"/>
    <n v="571.12"/>
    <n v="487.72"/>
    <n v="46.1"/>
    <x v="2"/>
    <n v="3"/>
  </r>
  <r>
    <s v="ORD-10540"/>
    <x v="185"/>
    <s v="Jul 2024"/>
    <x v="2"/>
    <n v="2024"/>
    <x v="1"/>
    <x v="1"/>
    <x v="2"/>
    <x v="2"/>
    <s v="Food &amp; Beverage Item 07"/>
    <n v="4"/>
    <n v="13.42"/>
    <n v="15"/>
    <n v="53.68"/>
    <n v="8.0500000000000007"/>
    <n v="45.63"/>
    <n v="23.8"/>
    <n v="21.83"/>
    <n v="47.8"/>
    <x v="0"/>
    <n v="2"/>
  </r>
  <r>
    <s v="ORD-10541"/>
    <x v="186"/>
    <s v="Jul 2024"/>
    <x v="2"/>
    <n v="2024"/>
    <x v="2"/>
    <x v="8"/>
    <x v="3"/>
    <x v="3"/>
    <s v="Home &amp; Garden Item 26"/>
    <n v="3"/>
    <n v="417.81"/>
    <n v="10"/>
    <n v="1253.43"/>
    <n v="125.34"/>
    <n v="1128.0899999999999"/>
    <n v="682.12"/>
    <n v="445.97"/>
    <n v="39.5"/>
    <x v="2"/>
    <n v="5"/>
  </r>
  <r>
    <s v="ORD-10542"/>
    <x v="186"/>
    <s v="Jul 2024"/>
    <x v="2"/>
    <n v="2024"/>
    <x v="2"/>
    <x v="0"/>
    <x v="3"/>
    <x v="5"/>
    <s v="Sports Item 45"/>
    <n v="6"/>
    <n v="363.58"/>
    <n v="0"/>
    <n v="2181.48"/>
    <n v="0"/>
    <n v="2181.48"/>
    <n v="810.21"/>
    <n v="1371.27"/>
    <n v="62.9"/>
    <x v="2"/>
    <n v="3"/>
  </r>
  <r>
    <s v="ORD-10543"/>
    <x v="187"/>
    <s v="Jul 2024"/>
    <x v="2"/>
    <n v="2024"/>
    <x v="0"/>
    <x v="5"/>
    <x v="3"/>
    <x v="0"/>
    <s v="Beauty Item 03"/>
    <n v="10"/>
    <n v="38.299999999999997"/>
    <n v="5"/>
    <n v="383"/>
    <n v="19.149999999999999"/>
    <n v="363.85"/>
    <n v="145.03"/>
    <n v="218.82"/>
    <n v="60.1"/>
    <x v="2"/>
    <n v="3"/>
  </r>
  <r>
    <s v="ORD-10544"/>
    <x v="187"/>
    <s v="Jul 2024"/>
    <x v="2"/>
    <n v="2024"/>
    <x v="0"/>
    <x v="4"/>
    <x v="3"/>
    <x v="0"/>
    <s v="Beauty Item 16"/>
    <n v="20"/>
    <n v="85.13"/>
    <n v="15"/>
    <n v="1702.6"/>
    <n v="255.39"/>
    <n v="1447.21"/>
    <n v="605.61"/>
    <n v="841.6"/>
    <n v="58.2"/>
    <x v="0"/>
    <n v="3"/>
  </r>
  <r>
    <s v="ORD-10545"/>
    <x v="187"/>
    <s v="Jul 2024"/>
    <x v="2"/>
    <n v="2024"/>
    <x v="2"/>
    <x v="2"/>
    <x v="3"/>
    <x v="3"/>
    <s v="Home &amp; Garden Item 11"/>
    <n v="2"/>
    <n v="98.98"/>
    <n v="15"/>
    <n v="197.96"/>
    <n v="29.69"/>
    <n v="168.27"/>
    <n v="74.89"/>
    <n v="93.38"/>
    <n v="55.5"/>
    <x v="1"/>
    <n v="3"/>
  </r>
  <r>
    <s v="ORD-10546"/>
    <x v="187"/>
    <s v="Jul 2024"/>
    <x v="2"/>
    <n v="2024"/>
    <x v="0"/>
    <x v="7"/>
    <x v="1"/>
    <x v="5"/>
    <s v="Sports Item 18"/>
    <n v="7"/>
    <n v="345.43"/>
    <n v="0"/>
    <n v="2418.0100000000002"/>
    <n v="0"/>
    <n v="2418.0100000000002"/>
    <n v="1057.6500000000001"/>
    <n v="1360.36"/>
    <n v="56.3"/>
    <x v="2"/>
    <n v="4"/>
  </r>
  <r>
    <s v="ORD-10547"/>
    <x v="188"/>
    <s v="Jul 2024"/>
    <x v="2"/>
    <n v="2024"/>
    <x v="1"/>
    <x v="1"/>
    <x v="3"/>
    <x v="0"/>
    <s v="Beauty Item 41"/>
    <n v="11"/>
    <n v="71.86"/>
    <n v="5"/>
    <n v="790.46"/>
    <n v="39.520000000000003"/>
    <n v="750.94"/>
    <n v="323.08999999999997"/>
    <n v="427.85"/>
    <n v="57"/>
    <x v="1"/>
    <n v="2"/>
  </r>
  <r>
    <s v="ORD-10548"/>
    <x v="189"/>
    <s v="Jul 2024"/>
    <x v="2"/>
    <n v="2024"/>
    <x v="2"/>
    <x v="8"/>
    <x v="1"/>
    <x v="0"/>
    <s v="Beauty Item 35"/>
    <n v="5"/>
    <n v="105.24"/>
    <n v="0"/>
    <n v="526.20000000000005"/>
    <n v="0"/>
    <n v="526.20000000000005"/>
    <n v="285.93"/>
    <n v="240.27"/>
    <n v="45.7"/>
    <x v="0"/>
    <n v="1"/>
  </r>
  <r>
    <s v="ORD-10549"/>
    <x v="189"/>
    <s v="Jul 2024"/>
    <x v="2"/>
    <n v="2024"/>
    <x v="2"/>
    <x v="4"/>
    <x v="0"/>
    <x v="5"/>
    <s v="Sports Item 19"/>
    <n v="3"/>
    <n v="293.83999999999997"/>
    <n v="15"/>
    <n v="881.52"/>
    <n v="132.22999999999999"/>
    <n v="749.29"/>
    <n v="323.22000000000003"/>
    <n v="426.07"/>
    <n v="56.9"/>
    <x v="2"/>
    <n v="4"/>
  </r>
  <r>
    <s v="ORD-10550"/>
    <x v="190"/>
    <s v="Jul 2024"/>
    <x v="2"/>
    <n v="2024"/>
    <x v="4"/>
    <x v="1"/>
    <x v="1"/>
    <x v="4"/>
    <s v="Electronics Item 43"/>
    <n v="8"/>
    <n v="612.15"/>
    <n v="15"/>
    <n v="4897.2"/>
    <n v="734.58"/>
    <n v="4162.62"/>
    <n v="2012.5"/>
    <n v="2150.12"/>
    <n v="51.7"/>
    <x v="1"/>
    <n v="1"/>
  </r>
  <r>
    <s v="ORD-10551"/>
    <x v="191"/>
    <s v="Jul 2024"/>
    <x v="2"/>
    <n v="2024"/>
    <x v="1"/>
    <x v="6"/>
    <x v="0"/>
    <x v="2"/>
    <s v="Food &amp; Beverage Item 05"/>
    <n v="12"/>
    <n v="72.42"/>
    <n v="15"/>
    <n v="869.04"/>
    <n v="130.36000000000001"/>
    <n v="738.68"/>
    <n v="449.74"/>
    <n v="288.94"/>
    <n v="39.1"/>
    <x v="1"/>
    <n v="1"/>
  </r>
  <r>
    <s v="ORD-10552"/>
    <x v="191"/>
    <s v="Jul 2024"/>
    <x v="2"/>
    <n v="2024"/>
    <x v="1"/>
    <x v="9"/>
    <x v="2"/>
    <x v="4"/>
    <s v="Electronics Item 45"/>
    <n v="13"/>
    <n v="562.30999999999995"/>
    <n v="5"/>
    <n v="7310.03"/>
    <n v="365.5"/>
    <n v="6944.53"/>
    <n v="3187.19"/>
    <n v="3757.34"/>
    <n v="54.1"/>
    <x v="0"/>
    <n v="1"/>
  </r>
  <r>
    <s v="ORD-10553"/>
    <x v="191"/>
    <s v="Jul 2024"/>
    <x v="2"/>
    <n v="2024"/>
    <x v="3"/>
    <x v="6"/>
    <x v="2"/>
    <x v="2"/>
    <s v="Food &amp; Beverage Item 47"/>
    <n v="17"/>
    <n v="9.17"/>
    <n v="0"/>
    <n v="155.88999999999999"/>
    <n v="0"/>
    <n v="155.88999999999999"/>
    <n v="82.01"/>
    <n v="73.88"/>
    <n v="47.4"/>
    <x v="0"/>
    <n v="2"/>
  </r>
  <r>
    <s v="ORD-10554"/>
    <x v="191"/>
    <s v="Jul 2024"/>
    <x v="2"/>
    <n v="2024"/>
    <x v="3"/>
    <x v="4"/>
    <x v="3"/>
    <x v="2"/>
    <s v="Food &amp; Beverage Item 47"/>
    <n v="2"/>
    <n v="14.9"/>
    <n v="20"/>
    <n v="29.8"/>
    <n v="5.96"/>
    <n v="23.84"/>
    <n v="15.25"/>
    <n v="8.59"/>
    <n v="36"/>
    <x v="2"/>
    <n v="3"/>
  </r>
  <r>
    <s v="ORD-10555"/>
    <x v="191"/>
    <s v="Jul 2024"/>
    <x v="2"/>
    <n v="2024"/>
    <x v="4"/>
    <x v="6"/>
    <x v="1"/>
    <x v="0"/>
    <s v="Beauty Item 14"/>
    <n v="10"/>
    <n v="68.16"/>
    <n v="20"/>
    <n v="681.6"/>
    <n v="136.32"/>
    <n v="545.28"/>
    <n v="258.57"/>
    <n v="286.70999999999998"/>
    <n v="52.6"/>
    <x v="1"/>
    <n v="5"/>
  </r>
  <r>
    <s v="ORD-10556"/>
    <x v="192"/>
    <s v="Jul 2024"/>
    <x v="2"/>
    <n v="2024"/>
    <x v="3"/>
    <x v="0"/>
    <x v="0"/>
    <x v="2"/>
    <s v="Food &amp; Beverage Item 32"/>
    <n v="9"/>
    <n v="47.29"/>
    <n v="10"/>
    <n v="425.61"/>
    <n v="42.56"/>
    <n v="383.05"/>
    <n v="155.19999999999999"/>
    <n v="227.85"/>
    <n v="59.5"/>
    <x v="2"/>
    <n v="5"/>
  </r>
  <r>
    <s v="ORD-10557"/>
    <x v="192"/>
    <s v="Jul 2024"/>
    <x v="2"/>
    <n v="2024"/>
    <x v="0"/>
    <x v="8"/>
    <x v="0"/>
    <x v="1"/>
    <s v="Clothing Item 27"/>
    <n v="6"/>
    <n v="118.38"/>
    <n v="10"/>
    <n v="710.28"/>
    <n v="71.03"/>
    <n v="639.25"/>
    <n v="228.17"/>
    <n v="411.08"/>
    <n v="64.3"/>
    <x v="0"/>
    <n v="3"/>
  </r>
  <r>
    <s v="ORD-10558"/>
    <x v="192"/>
    <s v="Jul 2024"/>
    <x v="2"/>
    <n v="2024"/>
    <x v="2"/>
    <x v="4"/>
    <x v="1"/>
    <x v="5"/>
    <s v="Sports Item 49"/>
    <n v="1"/>
    <n v="277.29000000000002"/>
    <n v="0"/>
    <n v="277.29000000000002"/>
    <n v="0"/>
    <n v="277.29000000000002"/>
    <n v="157.59"/>
    <n v="119.7"/>
    <n v="43.2"/>
    <x v="2"/>
    <n v="3"/>
  </r>
  <r>
    <s v="ORD-10559"/>
    <x v="193"/>
    <s v="Jul 2024"/>
    <x v="2"/>
    <n v="2024"/>
    <x v="0"/>
    <x v="1"/>
    <x v="3"/>
    <x v="5"/>
    <s v="Sports Item 36"/>
    <n v="13"/>
    <n v="140.56"/>
    <n v="0"/>
    <n v="1827.28"/>
    <n v="0"/>
    <n v="1827.28"/>
    <n v="1002.46"/>
    <n v="824.82"/>
    <n v="45.1"/>
    <x v="2"/>
    <n v="2"/>
  </r>
  <r>
    <s v="ORD-10560"/>
    <x v="193"/>
    <s v="Jul 2024"/>
    <x v="2"/>
    <n v="2024"/>
    <x v="1"/>
    <x v="9"/>
    <x v="1"/>
    <x v="1"/>
    <s v="Clothing Item 08"/>
    <n v="15"/>
    <n v="19.03"/>
    <n v="15"/>
    <n v="285.45"/>
    <n v="42.82"/>
    <n v="242.63"/>
    <n v="153.37"/>
    <n v="89.26"/>
    <n v="36.799999999999997"/>
    <x v="1"/>
    <n v="5"/>
  </r>
  <r>
    <s v="ORD-10561"/>
    <x v="193"/>
    <s v="Jul 2024"/>
    <x v="2"/>
    <n v="2024"/>
    <x v="3"/>
    <x v="3"/>
    <x v="2"/>
    <x v="5"/>
    <s v="Sports Item 24"/>
    <n v="18"/>
    <n v="120.42"/>
    <n v="0"/>
    <n v="2167.56"/>
    <n v="0"/>
    <n v="2167.56"/>
    <n v="1214.29"/>
    <n v="953.27"/>
    <n v="44"/>
    <x v="0"/>
    <n v="4"/>
  </r>
  <r>
    <s v="ORD-10562"/>
    <x v="194"/>
    <s v="Jul 2024"/>
    <x v="2"/>
    <n v="2024"/>
    <x v="0"/>
    <x v="6"/>
    <x v="2"/>
    <x v="3"/>
    <s v="Home &amp; Garden Item 05"/>
    <n v="18"/>
    <n v="21.45"/>
    <n v="10"/>
    <n v="386.1"/>
    <n v="38.61"/>
    <n v="347.49"/>
    <n v="129.97"/>
    <n v="217.52"/>
    <n v="62.6"/>
    <x v="2"/>
    <n v="2"/>
  </r>
  <r>
    <s v="ORD-10563"/>
    <x v="194"/>
    <s v="Jul 2024"/>
    <x v="2"/>
    <n v="2024"/>
    <x v="1"/>
    <x v="7"/>
    <x v="3"/>
    <x v="5"/>
    <s v="Sports Item 49"/>
    <n v="8"/>
    <n v="106.71"/>
    <n v="20"/>
    <n v="853.68"/>
    <n v="170.74"/>
    <n v="682.94"/>
    <n v="273.23"/>
    <n v="409.71"/>
    <n v="60"/>
    <x v="2"/>
    <n v="5"/>
  </r>
  <r>
    <s v="ORD-10564"/>
    <x v="194"/>
    <s v="Jul 2024"/>
    <x v="2"/>
    <n v="2024"/>
    <x v="3"/>
    <x v="8"/>
    <x v="1"/>
    <x v="5"/>
    <s v="Sports Item 07"/>
    <n v="4"/>
    <n v="52.39"/>
    <n v="5"/>
    <n v="209.56"/>
    <n v="10.48"/>
    <n v="199.08"/>
    <n v="75.83"/>
    <n v="123.25"/>
    <n v="61.9"/>
    <x v="0"/>
    <n v="4"/>
  </r>
  <r>
    <s v="ORD-10565"/>
    <x v="195"/>
    <s v="Jul 2024"/>
    <x v="2"/>
    <n v="2024"/>
    <x v="2"/>
    <x v="5"/>
    <x v="2"/>
    <x v="5"/>
    <s v="Sports Item 33"/>
    <n v="15"/>
    <n v="183.89"/>
    <n v="20"/>
    <n v="2758.35"/>
    <n v="551.66999999999996"/>
    <n v="2206.6799999999998"/>
    <n v="814.57"/>
    <n v="1392.11"/>
    <n v="63.1"/>
    <x v="0"/>
    <n v="2"/>
  </r>
  <r>
    <s v="ORD-10566"/>
    <x v="195"/>
    <s v="Jul 2024"/>
    <x v="2"/>
    <n v="2024"/>
    <x v="2"/>
    <x v="6"/>
    <x v="0"/>
    <x v="2"/>
    <s v="Food &amp; Beverage Item 50"/>
    <n v="4"/>
    <n v="57.53"/>
    <n v="5"/>
    <n v="230.12"/>
    <n v="11.51"/>
    <n v="218.61"/>
    <n v="134.13999999999999"/>
    <n v="84.47"/>
    <n v="38.6"/>
    <x v="2"/>
    <n v="5"/>
  </r>
  <r>
    <s v="ORD-10567"/>
    <x v="195"/>
    <s v="Jul 2024"/>
    <x v="2"/>
    <n v="2024"/>
    <x v="3"/>
    <x v="7"/>
    <x v="0"/>
    <x v="4"/>
    <s v="Electronics Item 50"/>
    <n v="5"/>
    <n v="672.34"/>
    <n v="20"/>
    <n v="3361.7"/>
    <n v="672.34"/>
    <n v="2689.36"/>
    <n v="1383.76"/>
    <n v="1305.5999999999999"/>
    <n v="48.5"/>
    <x v="0"/>
    <n v="4"/>
  </r>
  <r>
    <s v="ORD-10568"/>
    <x v="195"/>
    <s v="Jul 2024"/>
    <x v="2"/>
    <n v="2024"/>
    <x v="2"/>
    <x v="5"/>
    <x v="1"/>
    <x v="3"/>
    <s v="Home &amp; Garden Item 21"/>
    <n v="4"/>
    <n v="48.92"/>
    <n v="0"/>
    <n v="195.68"/>
    <n v="0"/>
    <n v="195.68"/>
    <n v="70.040000000000006"/>
    <n v="125.64"/>
    <n v="64.2"/>
    <x v="1"/>
    <n v="1"/>
  </r>
  <r>
    <s v="ORD-10569"/>
    <x v="195"/>
    <s v="Jul 2024"/>
    <x v="2"/>
    <n v="2024"/>
    <x v="4"/>
    <x v="9"/>
    <x v="3"/>
    <x v="5"/>
    <s v="Sports Item 27"/>
    <n v="1"/>
    <n v="360.33"/>
    <n v="0"/>
    <n v="360.33"/>
    <n v="0"/>
    <n v="360.33"/>
    <n v="169.03"/>
    <n v="191.3"/>
    <n v="53.1"/>
    <x v="2"/>
    <n v="5"/>
  </r>
  <r>
    <s v="ORD-10570"/>
    <x v="196"/>
    <s v="Jul 2024"/>
    <x v="2"/>
    <n v="2024"/>
    <x v="3"/>
    <x v="4"/>
    <x v="0"/>
    <x v="3"/>
    <s v="Home &amp; Garden Item 29"/>
    <n v="2"/>
    <n v="493.35"/>
    <n v="20"/>
    <n v="986.7"/>
    <n v="197.34"/>
    <n v="789.36"/>
    <n v="457.43"/>
    <n v="331.93"/>
    <n v="42.1"/>
    <x v="0"/>
    <n v="4"/>
  </r>
  <r>
    <s v="ORD-10571"/>
    <x v="196"/>
    <s v="Jul 2024"/>
    <x v="2"/>
    <n v="2024"/>
    <x v="4"/>
    <x v="5"/>
    <x v="0"/>
    <x v="2"/>
    <s v="Food &amp; Beverage Item 11"/>
    <n v="8"/>
    <n v="40.409999999999997"/>
    <n v="5"/>
    <n v="323.27999999999997"/>
    <n v="16.16"/>
    <n v="307.12"/>
    <n v="115.16"/>
    <n v="191.96"/>
    <n v="62.5"/>
    <x v="2"/>
    <n v="2"/>
  </r>
  <r>
    <s v="ORD-10572"/>
    <x v="197"/>
    <s v="Jul 2024"/>
    <x v="2"/>
    <n v="2024"/>
    <x v="3"/>
    <x v="9"/>
    <x v="2"/>
    <x v="3"/>
    <s v="Home &amp; Garden Item 17"/>
    <n v="5"/>
    <n v="157.80000000000001"/>
    <n v="0"/>
    <n v="789"/>
    <n v="0"/>
    <n v="789"/>
    <n v="338.27"/>
    <n v="450.73"/>
    <n v="57.1"/>
    <x v="2"/>
    <n v="4"/>
  </r>
  <r>
    <s v="ORD-10573"/>
    <x v="197"/>
    <s v="Jul 2024"/>
    <x v="2"/>
    <n v="2024"/>
    <x v="4"/>
    <x v="5"/>
    <x v="0"/>
    <x v="3"/>
    <s v="Home &amp; Garden Item 14"/>
    <n v="7"/>
    <n v="106.39"/>
    <n v="0"/>
    <n v="744.73"/>
    <n v="0"/>
    <n v="744.73"/>
    <n v="295.35000000000002"/>
    <n v="449.38"/>
    <n v="60.3"/>
    <x v="2"/>
    <n v="2"/>
  </r>
  <r>
    <s v="ORD-10574"/>
    <x v="198"/>
    <s v="Jul 2024"/>
    <x v="2"/>
    <n v="2024"/>
    <x v="2"/>
    <x v="7"/>
    <x v="1"/>
    <x v="1"/>
    <s v="Clothing Item 33"/>
    <n v="13"/>
    <n v="40.049999999999997"/>
    <n v="0"/>
    <n v="520.65"/>
    <n v="0"/>
    <n v="520.65"/>
    <n v="284.51"/>
    <n v="236.14"/>
    <n v="45.4"/>
    <x v="2"/>
    <n v="4"/>
  </r>
  <r>
    <s v="ORD-10575"/>
    <x v="199"/>
    <s v="Jul 2024"/>
    <x v="2"/>
    <n v="2024"/>
    <x v="2"/>
    <x v="8"/>
    <x v="1"/>
    <x v="2"/>
    <s v="Food &amp; Beverage Item 03"/>
    <n v="12"/>
    <n v="53.11"/>
    <n v="0"/>
    <n v="637.32000000000005"/>
    <n v="0"/>
    <n v="637.32000000000005"/>
    <n v="392.36"/>
    <n v="244.96"/>
    <n v="38.4"/>
    <x v="2"/>
    <n v="3"/>
  </r>
  <r>
    <s v="ORD-10576"/>
    <x v="199"/>
    <s v="Jul 2024"/>
    <x v="2"/>
    <n v="2024"/>
    <x v="0"/>
    <x v="9"/>
    <x v="2"/>
    <x v="5"/>
    <s v="Sports Item 30"/>
    <n v="3"/>
    <n v="298.48"/>
    <n v="0"/>
    <n v="895.44"/>
    <n v="0"/>
    <n v="895.44"/>
    <n v="396.51"/>
    <n v="498.93"/>
    <n v="55.7"/>
    <x v="0"/>
    <n v="5"/>
  </r>
  <r>
    <s v="ORD-10577"/>
    <x v="199"/>
    <s v="Jul 2024"/>
    <x v="2"/>
    <n v="2024"/>
    <x v="1"/>
    <x v="0"/>
    <x v="1"/>
    <x v="4"/>
    <s v="Electronics Item 02"/>
    <n v="19"/>
    <n v="1158.3499999999999"/>
    <n v="10"/>
    <n v="22008.65"/>
    <n v="2200.87"/>
    <n v="19807.78"/>
    <n v="8402.84"/>
    <n v="11404.94"/>
    <n v="57.6"/>
    <x v="2"/>
    <n v="2"/>
  </r>
  <r>
    <s v="ORD-10578"/>
    <x v="200"/>
    <s v="Aug 2024"/>
    <x v="2"/>
    <n v="2024"/>
    <x v="4"/>
    <x v="9"/>
    <x v="1"/>
    <x v="4"/>
    <s v="Electronics Item 05"/>
    <n v="19"/>
    <n v="480.63"/>
    <n v="0"/>
    <n v="9131.9699999999993"/>
    <n v="0"/>
    <n v="9131.9699999999993"/>
    <n v="3974.71"/>
    <n v="5157.26"/>
    <n v="56.5"/>
    <x v="2"/>
    <n v="4"/>
  </r>
  <r>
    <s v="ORD-10579"/>
    <x v="201"/>
    <s v="Aug 2024"/>
    <x v="2"/>
    <n v="2024"/>
    <x v="3"/>
    <x v="7"/>
    <x v="2"/>
    <x v="4"/>
    <s v="Electronics Item 41"/>
    <n v="9"/>
    <n v="1075.03"/>
    <n v="10"/>
    <n v="9675.27"/>
    <n v="967.53"/>
    <n v="8707.74"/>
    <n v="4684.28"/>
    <n v="4023.46"/>
    <n v="46.2"/>
    <x v="1"/>
    <n v="2"/>
  </r>
  <r>
    <s v="ORD-10580"/>
    <x v="201"/>
    <s v="Aug 2024"/>
    <x v="2"/>
    <n v="2024"/>
    <x v="2"/>
    <x v="8"/>
    <x v="2"/>
    <x v="4"/>
    <s v="Electronics Item 45"/>
    <n v="3"/>
    <n v="565.82000000000005"/>
    <n v="15"/>
    <n v="1697.46"/>
    <n v="254.62"/>
    <n v="1442.84"/>
    <n v="561.82000000000005"/>
    <n v="881.02"/>
    <n v="61.1"/>
    <x v="1"/>
    <n v="1"/>
  </r>
  <r>
    <s v="ORD-10581"/>
    <x v="201"/>
    <s v="Aug 2024"/>
    <x v="2"/>
    <n v="2024"/>
    <x v="2"/>
    <x v="8"/>
    <x v="2"/>
    <x v="5"/>
    <s v="Sports Item 44"/>
    <n v="1"/>
    <n v="368.92"/>
    <n v="5"/>
    <n v="368.92"/>
    <n v="18.45"/>
    <n v="350.47"/>
    <n v="210.83"/>
    <n v="139.63999999999999"/>
    <n v="39.799999999999997"/>
    <x v="1"/>
    <n v="2"/>
  </r>
  <r>
    <s v="ORD-10582"/>
    <x v="202"/>
    <s v="Aug 2024"/>
    <x v="2"/>
    <n v="2024"/>
    <x v="3"/>
    <x v="3"/>
    <x v="2"/>
    <x v="4"/>
    <s v="Electronics Item 48"/>
    <n v="3"/>
    <n v="484.12"/>
    <n v="5"/>
    <n v="1452.36"/>
    <n v="72.62"/>
    <n v="1379.74"/>
    <n v="494.74"/>
    <n v="885"/>
    <n v="64.099999999999994"/>
    <x v="2"/>
    <n v="5"/>
  </r>
  <r>
    <s v="ORD-10583"/>
    <x v="202"/>
    <s v="Aug 2024"/>
    <x v="2"/>
    <n v="2024"/>
    <x v="1"/>
    <x v="1"/>
    <x v="0"/>
    <x v="2"/>
    <s v="Food &amp; Beverage Item 30"/>
    <n v="7"/>
    <n v="11.02"/>
    <n v="20"/>
    <n v="77.14"/>
    <n v="15.43"/>
    <n v="61.71"/>
    <n v="33.880000000000003"/>
    <n v="27.83"/>
    <n v="45.1"/>
    <x v="2"/>
    <n v="1"/>
  </r>
  <r>
    <s v="ORD-10584"/>
    <x v="202"/>
    <s v="Aug 2024"/>
    <x v="2"/>
    <n v="2024"/>
    <x v="3"/>
    <x v="3"/>
    <x v="3"/>
    <x v="2"/>
    <s v="Food &amp; Beverage Item 25"/>
    <n v="15"/>
    <n v="77.31"/>
    <n v="0"/>
    <n v="1159.6500000000001"/>
    <n v="0"/>
    <n v="1159.6500000000001"/>
    <n v="705.2"/>
    <n v="454.45"/>
    <n v="39.200000000000003"/>
    <x v="2"/>
    <n v="5"/>
  </r>
  <r>
    <s v="ORD-10585"/>
    <x v="202"/>
    <s v="Aug 2024"/>
    <x v="2"/>
    <n v="2024"/>
    <x v="4"/>
    <x v="2"/>
    <x v="2"/>
    <x v="3"/>
    <s v="Home &amp; Garden Item 22"/>
    <n v="5"/>
    <n v="439.79"/>
    <n v="0"/>
    <n v="2198.9499999999998"/>
    <n v="0"/>
    <n v="2198.9499999999998"/>
    <n v="984.16"/>
    <n v="1214.79"/>
    <n v="55.2"/>
    <x v="2"/>
    <n v="4"/>
  </r>
  <r>
    <s v="ORD-10586"/>
    <x v="203"/>
    <s v="Aug 2024"/>
    <x v="2"/>
    <n v="2024"/>
    <x v="4"/>
    <x v="5"/>
    <x v="1"/>
    <x v="1"/>
    <s v="Clothing Item 48"/>
    <n v="3"/>
    <n v="39.6"/>
    <n v="5"/>
    <n v="118.8"/>
    <n v="5.94"/>
    <n v="112.86"/>
    <n v="55.62"/>
    <n v="57.24"/>
    <n v="50.7"/>
    <x v="2"/>
    <n v="3"/>
  </r>
  <r>
    <s v="ORD-10587"/>
    <x v="203"/>
    <s v="Aug 2024"/>
    <x v="2"/>
    <n v="2024"/>
    <x v="0"/>
    <x v="1"/>
    <x v="3"/>
    <x v="0"/>
    <s v="Beauty Item 26"/>
    <n v="11"/>
    <n v="130.44"/>
    <n v="5"/>
    <n v="1434.84"/>
    <n v="71.739999999999995"/>
    <n v="1363.1"/>
    <n v="875.78"/>
    <n v="487.32"/>
    <n v="35.799999999999997"/>
    <x v="0"/>
    <n v="5"/>
  </r>
  <r>
    <s v="ORD-10588"/>
    <x v="203"/>
    <s v="Aug 2024"/>
    <x v="2"/>
    <n v="2024"/>
    <x v="3"/>
    <x v="6"/>
    <x v="3"/>
    <x v="4"/>
    <s v="Electronics Item 13"/>
    <n v="4"/>
    <n v="186.43"/>
    <n v="20"/>
    <n v="745.72"/>
    <n v="149.13999999999999"/>
    <n v="596.58000000000004"/>
    <n v="305.55"/>
    <n v="291.02999999999997"/>
    <n v="48.8"/>
    <x v="2"/>
    <n v="2"/>
  </r>
  <r>
    <s v="ORD-10589"/>
    <x v="203"/>
    <s v="Aug 2024"/>
    <x v="2"/>
    <n v="2024"/>
    <x v="2"/>
    <x v="5"/>
    <x v="3"/>
    <x v="0"/>
    <s v="Beauty Item 26"/>
    <n v="2"/>
    <n v="149"/>
    <n v="10"/>
    <n v="298"/>
    <n v="29.8"/>
    <n v="268.2"/>
    <n v="115.79"/>
    <n v="152.41"/>
    <n v="56.8"/>
    <x v="2"/>
    <n v="3"/>
  </r>
  <r>
    <s v="ORD-10590"/>
    <x v="203"/>
    <s v="Aug 2024"/>
    <x v="2"/>
    <n v="2024"/>
    <x v="0"/>
    <x v="3"/>
    <x v="0"/>
    <x v="0"/>
    <s v="Beauty Item 03"/>
    <n v="15"/>
    <n v="65.03"/>
    <n v="5"/>
    <n v="975.45"/>
    <n v="48.77"/>
    <n v="926.68"/>
    <n v="448.01"/>
    <n v="478.67"/>
    <n v="51.7"/>
    <x v="2"/>
    <n v="2"/>
  </r>
  <r>
    <s v="ORD-10591"/>
    <x v="203"/>
    <s v="Aug 2024"/>
    <x v="2"/>
    <n v="2024"/>
    <x v="3"/>
    <x v="9"/>
    <x v="0"/>
    <x v="0"/>
    <s v="Beauty Item 01"/>
    <n v="2"/>
    <n v="27.83"/>
    <n v="0"/>
    <n v="55.66"/>
    <n v="0"/>
    <n v="55.66"/>
    <n v="35.67"/>
    <n v="19.989999999999998"/>
    <n v="35.9"/>
    <x v="1"/>
    <n v="1"/>
  </r>
  <r>
    <s v="ORD-10592"/>
    <x v="203"/>
    <s v="Aug 2024"/>
    <x v="2"/>
    <n v="2024"/>
    <x v="3"/>
    <x v="9"/>
    <x v="2"/>
    <x v="3"/>
    <s v="Home &amp; Garden Item 17"/>
    <n v="6"/>
    <n v="489.79"/>
    <n v="20"/>
    <n v="2938.74"/>
    <n v="587.75"/>
    <n v="2350.9899999999998"/>
    <n v="1314.88"/>
    <n v="1036.1099999999999"/>
    <n v="44.1"/>
    <x v="2"/>
    <n v="1"/>
  </r>
  <r>
    <s v="ORD-10593"/>
    <x v="203"/>
    <s v="Aug 2024"/>
    <x v="2"/>
    <n v="2024"/>
    <x v="2"/>
    <x v="8"/>
    <x v="1"/>
    <x v="2"/>
    <s v="Food &amp; Beverage Item 08"/>
    <n v="19"/>
    <n v="67.61"/>
    <n v="5"/>
    <n v="1284.5899999999999"/>
    <n v="64.23"/>
    <n v="1220.3599999999999"/>
    <n v="491.94"/>
    <n v="728.42"/>
    <n v="59.7"/>
    <x v="2"/>
    <n v="1"/>
  </r>
  <r>
    <s v="ORD-10594"/>
    <x v="204"/>
    <s v="Aug 2024"/>
    <x v="2"/>
    <n v="2024"/>
    <x v="1"/>
    <x v="8"/>
    <x v="2"/>
    <x v="4"/>
    <s v="Electronics Item 46"/>
    <n v="14"/>
    <n v="919.61"/>
    <n v="5"/>
    <n v="12874.54"/>
    <n v="643.73"/>
    <n v="12230.81"/>
    <n v="6473.47"/>
    <n v="5757.34"/>
    <n v="47.1"/>
    <x v="2"/>
    <n v="4"/>
  </r>
  <r>
    <s v="ORD-10595"/>
    <x v="204"/>
    <s v="Aug 2024"/>
    <x v="2"/>
    <n v="2024"/>
    <x v="3"/>
    <x v="9"/>
    <x v="3"/>
    <x v="5"/>
    <s v="Sports Item 09"/>
    <n v="13"/>
    <n v="391.93"/>
    <n v="0"/>
    <n v="5095.09"/>
    <n v="0"/>
    <n v="5095.09"/>
    <n v="2747.85"/>
    <n v="2347.2399999999998"/>
    <n v="46.1"/>
    <x v="2"/>
    <n v="1"/>
  </r>
  <r>
    <s v="ORD-10596"/>
    <x v="204"/>
    <s v="Aug 2024"/>
    <x v="2"/>
    <n v="2024"/>
    <x v="0"/>
    <x v="1"/>
    <x v="2"/>
    <x v="3"/>
    <s v="Home &amp; Garden Item 21"/>
    <n v="16"/>
    <n v="242.24"/>
    <n v="0"/>
    <n v="3875.84"/>
    <n v="0"/>
    <n v="3875.84"/>
    <n v="2095.88"/>
    <n v="1779.96"/>
    <n v="45.9"/>
    <x v="0"/>
    <n v="5"/>
  </r>
  <r>
    <s v="ORD-10597"/>
    <x v="205"/>
    <s v="Aug 2024"/>
    <x v="2"/>
    <n v="2024"/>
    <x v="2"/>
    <x v="3"/>
    <x v="3"/>
    <x v="2"/>
    <s v="Food &amp; Beverage Item 43"/>
    <n v="1"/>
    <n v="58.93"/>
    <n v="5"/>
    <n v="58.93"/>
    <n v="2.95"/>
    <n v="55.98"/>
    <n v="29.06"/>
    <n v="26.92"/>
    <n v="48.1"/>
    <x v="1"/>
    <n v="2"/>
  </r>
  <r>
    <s v="ORD-10598"/>
    <x v="205"/>
    <s v="Aug 2024"/>
    <x v="2"/>
    <n v="2024"/>
    <x v="4"/>
    <x v="6"/>
    <x v="1"/>
    <x v="5"/>
    <s v="Sports Item 48"/>
    <n v="13"/>
    <n v="184.05"/>
    <n v="15"/>
    <n v="2392.65"/>
    <n v="358.9"/>
    <n v="2033.75"/>
    <n v="1031.19"/>
    <n v="1002.56"/>
    <n v="49.3"/>
    <x v="2"/>
    <n v="1"/>
  </r>
  <r>
    <s v="ORD-10599"/>
    <x v="206"/>
    <s v="Aug 2024"/>
    <x v="2"/>
    <n v="2024"/>
    <x v="1"/>
    <x v="9"/>
    <x v="3"/>
    <x v="2"/>
    <s v="Food &amp; Beverage Item 30"/>
    <n v="14"/>
    <n v="33.450000000000003"/>
    <n v="15"/>
    <n v="468.3"/>
    <n v="70.25"/>
    <n v="398.05"/>
    <n v="215.69"/>
    <n v="182.36"/>
    <n v="45.8"/>
    <x v="2"/>
    <n v="5"/>
  </r>
  <r>
    <s v="ORD-10600"/>
    <x v="206"/>
    <s v="Aug 2024"/>
    <x v="2"/>
    <n v="2024"/>
    <x v="2"/>
    <x v="5"/>
    <x v="0"/>
    <x v="4"/>
    <s v="Electronics Item 32"/>
    <n v="6"/>
    <n v="314.11"/>
    <n v="0"/>
    <n v="1884.66"/>
    <n v="0"/>
    <n v="1884.66"/>
    <n v="834.71"/>
    <n v="1049.95"/>
    <n v="55.7"/>
    <x v="0"/>
    <n v="5"/>
  </r>
  <r>
    <s v="ORD-10601"/>
    <x v="206"/>
    <s v="Aug 2024"/>
    <x v="2"/>
    <n v="2024"/>
    <x v="0"/>
    <x v="7"/>
    <x v="2"/>
    <x v="3"/>
    <s v="Home &amp; Garden Item 30"/>
    <n v="12"/>
    <n v="241.1"/>
    <n v="0"/>
    <n v="2893.2"/>
    <n v="0"/>
    <n v="2893.2"/>
    <n v="1313.95"/>
    <n v="1579.25"/>
    <n v="54.6"/>
    <x v="2"/>
    <n v="1"/>
  </r>
  <r>
    <s v="ORD-10602"/>
    <x v="206"/>
    <s v="Aug 2024"/>
    <x v="2"/>
    <n v="2024"/>
    <x v="3"/>
    <x v="5"/>
    <x v="2"/>
    <x v="0"/>
    <s v="Beauty Item 05"/>
    <n v="7"/>
    <n v="31.72"/>
    <n v="5"/>
    <n v="222.04"/>
    <n v="11.1"/>
    <n v="210.94"/>
    <n v="107.98"/>
    <n v="102.96"/>
    <n v="48.8"/>
    <x v="1"/>
    <n v="5"/>
  </r>
  <r>
    <s v="ORD-10603"/>
    <x v="207"/>
    <s v="Aug 2024"/>
    <x v="2"/>
    <n v="2024"/>
    <x v="0"/>
    <x v="3"/>
    <x v="0"/>
    <x v="3"/>
    <s v="Home &amp; Garden Item 06"/>
    <n v="6"/>
    <n v="110.47"/>
    <n v="5"/>
    <n v="662.82"/>
    <n v="33.14"/>
    <n v="629.67999999999995"/>
    <n v="372.4"/>
    <n v="257.27999999999997"/>
    <n v="40.9"/>
    <x v="0"/>
    <n v="4"/>
  </r>
  <r>
    <s v="ORD-10604"/>
    <x v="207"/>
    <s v="Aug 2024"/>
    <x v="2"/>
    <n v="2024"/>
    <x v="3"/>
    <x v="8"/>
    <x v="0"/>
    <x v="3"/>
    <s v="Home &amp; Garden Item 36"/>
    <n v="9"/>
    <n v="440.1"/>
    <n v="0"/>
    <n v="3960.9"/>
    <n v="0"/>
    <n v="3960.9"/>
    <n v="1911.36"/>
    <n v="2049.54"/>
    <n v="51.7"/>
    <x v="1"/>
    <n v="1"/>
  </r>
  <r>
    <s v="ORD-10605"/>
    <x v="207"/>
    <s v="Aug 2024"/>
    <x v="2"/>
    <n v="2024"/>
    <x v="2"/>
    <x v="9"/>
    <x v="0"/>
    <x v="4"/>
    <s v="Electronics Item 43"/>
    <n v="9"/>
    <n v="930.31"/>
    <n v="10"/>
    <n v="8372.7900000000009"/>
    <n v="837.28"/>
    <n v="7535.51"/>
    <n v="3464.34"/>
    <n v="4071.17"/>
    <n v="54"/>
    <x v="2"/>
    <n v="2"/>
  </r>
  <r>
    <s v="ORD-10606"/>
    <x v="207"/>
    <s v="Aug 2024"/>
    <x v="2"/>
    <n v="2024"/>
    <x v="1"/>
    <x v="4"/>
    <x v="3"/>
    <x v="0"/>
    <s v="Beauty Item 16"/>
    <n v="15"/>
    <n v="14.51"/>
    <n v="10"/>
    <n v="217.65"/>
    <n v="21.77"/>
    <n v="195.88"/>
    <n v="83.83"/>
    <n v="112.05"/>
    <n v="57.2"/>
    <x v="2"/>
    <n v="4"/>
  </r>
  <r>
    <s v="ORD-10607"/>
    <x v="208"/>
    <s v="Aug 2024"/>
    <x v="2"/>
    <n v="2024"/>
    <x v="2"/>
    <x v="0"/>
    <x v="0"/>
    <x v="0"/>
    <s v="Beauty Item 46"/>
    <n v="5"/>
    <n v="102.43"/>
    <n v="0"/>
    <n v="512.15"/>
    <n v="0"/>
    <n v="512.15"/>
    <n v="225.89"/>
    <n v="286.26"/>
    <n v="55.9"/>
    <x v="2"/>
    <n v="3"/>
  </r>
  <r>
    <s v="ORD-10608"/>
    <x v="209"/>
    <s v="Aug 2024"/>
    <x v="2"/>
    <n v="2024"/>
    <x v="0"/>
    <x v="9"/>
    <x v="1"/>
    <x v="1"/>
    <s v="Clothing Item 29"/>
    <n v="2"/>
    <n v="128.76"/>
    <n v="20"/>
    <n v="257.52"/>
    <n v="51.5"/>
    <n v="206.02"/>
    <n v="72.11"/>
    <n v="133.91"/>
    <n v="65"/>
    <x v="0"/>
    <n v="2"/>
  </r>
  <r>
    <s v="ORD-10609"/>
    <x v="209"/>
    <s v="Aug 2024"/>
    <x v="2"/>
    <n v="2024"/>
    <x v="0"/>
    <x v="5"/>
    <x v="2"/>
    <x v="1"/>
    <s v="Clothing Item 09"/>
    <n v="20"/>
    <n v="188.2"/>
    <n v="0"/>
    <n v="3764"/>
    <n v="0"/>
    <n v="3764"/>
    <n v="2238.13"/>
    <n v="1525.87"/>
    <n v="40.5"/>
    <x v="1"/>
    <n v="2"/>
  </r>
  <r>
    <s v="ORD-10610"/>
    <x v="209"/>
    <s v="Aug 2024"/>
    <x v="2"/>
    <n v="2024"/>
    <x v="4"/>
    <x v="1"/>
    <x v="2"/>
    <x v="2"/>
    <s v="Food &amp; Beverage Item 31"/>
    <n v="20"/>
    <n v="71.680000000000007"/>
    <n v="20"/>
    <n v="1433.6"/>
    <n v="286.72000000000003"/>
    <n v="1146.8800000000001"/>
    <n v="693.16"/>
    <n v="453.72"/>
    <n v="39.6"/>
    <x v="2"/>
    <n v="2"/>
  </r>
  <r>
    <s v="ORD-10611"/>
    <x v="210"/>
    <s v="Aug 2024"/>
    <x v="2"/>
    <n v="2024"/>
    <x v="4"/>
    <x v="2"/>
    <x v="1"/>
    <x v="5"/>
    <s v="Sports Item 18"/>
    <n v="20"/>
    <n v="115.25"/>
    <n v="10"/>
    <n v="2305"/>
    <n v="230.5"/>
    <n v="2074.5"/>
    <n v="940.09"/>
    <n v="1134.4100000000001"/>
    <n v="54.7"/>
    <x v="2"/>
    <n v="3"/>
  </r>
  <r>
    <s v="ORD-10612"/>
    <x v="210"/>
    <s v="Aug 2024"/>
    <x v="2"/>
    <n v="2024"/>
    <x v="3"/>
    <x v="5"/>
    <x v="2"/>
    <x v="1"/>
    <s v="Clothing Item 11"/>
    <n v="8"/>
    <n v="27.45"/>
    <n v="10"/>
    <n v="219.6"/>
    <n v="21.96"/>
    <n v="197.64"/>
    <n v="96.99"/>
    <n v="100.65"/>
    <n v="50.9"/>
    <x v="2"/>
    <n v="2"/>
  </r>
  <r>
    <s v="ORD-10613"/>
    <x v="210"/>
    <s v="Aug 2024"/>
    <x v="2"/>
    <n v="2024"/>
    <x v="0"/>
    <x v="3"/>
    <x v="0"/>
    <x v="4"/>
    <s v="Electronics Item 11"/>
    <n v="10"/>
    <n v="733.04"/>
    <n v="15"/>
    <n v="7330.4"/>
    <n v="1099.56"/>
    <n v="6230.84"/>
    <n v="2196.34"/>
    <n v="4034.5"/>
    <n v="64.8"/>
    <x v="2"/>
    <n v="5"/>
  </r>
  <r>
    <s v="ORD-10614"/>
    <x v="210"/>
    <s v="Aug 2024"/>
    <x v="2"/>
    <n v="2024"/>
    <x v="4"/>
    <x v="2"/>
    <x v="2"/>
    <x v="3"/>
    <s v="Home &amp; Garden Item 02"/>
    <n v="16"/>
    <n v="234.29"/>
    <n v="0"/>
    <n v="3748.64"/>
    <n v="0"/>
    <n v="3748.64"/>
    <n v="2349"/>
    <n v="1399.64"/>
    <n v="37.299999999999997"/>
    <x v="2"/>
    <n v="2"/>
  </r>
  <r>
    <s v="ORD-10615"/>
    <x v="211"/>
    <s v="Aug 2024"/>
    <x v="2"/>
    <n v="2024"/>
    <x v="4"/>
    <x v="2"/>
    <x v="1"/>
    <x v="0"/>
    <s v="Beauty Item 39"/>
    <n v="14"/>
    <n v="104.08"/>
    <n v="10"/>
    <n v="1457.12"/>
    <n v="145.71"/>
    <n v="1311.41"/>
    <n v="831.55"/>
    <n v="479.86"/>
    <n v="36.6"/>
    <x v="2"/>
    <n v="4"/>
  </r>
  <r>
    <s v="ORD-10616"/>
    <x v="211"/>
    <s v="Aug 2024"/>
    <x v="2"/>
    <n v="2024"/>
    <x v="2"/>
    <x v="3"/>
    <x v="0"/>
    <x v="3"/>
    <s v="Home &amp; Garden Item 07"/>
    <n v="18"/>
    <n v="438.66"/>
    <n v="10"/>
    <n v="7895.88"/>
    <n v="789.59"/>
    <n v="7106.29"/>
    <n v="3504.25"/>
    <n v="3602.04"/>
    <n v="50.7"/>
    <x v="2"/>
    <n v="3"/>
  </r>
  <r>
    <s v="ORD-10617"/>
    <x v="212"/>
    <s v="Aug 2024"/>
    <x v="2"/>
    <n v="2024"/>
    <x v="3"/>
    <x v="6"/>
    <x v="3"/>
    <x v="4"/>
    <s v="Electronics Item 12"/>
    <n v="16"/>
    <n v="331.44"/>
    <n v="0"/>
    <n v="5303.04"/>
    <n v="0"/>
    <n v="5303.04"/>
    <n v="1870.59"/>
    <n v="3432.45"/>
    <n v="64.7"/>
    <x v="1"/>
    <n v="1"/>
  </r>
  <r>
    <s v="ORD-10618"/>
    <x v="212"/>
    <s v="Aug 2024"/>
    <x v="2"/>
    <n v="2024"/>
    <x v="1"/>
    <x v="3"/>
    <x v="3"/>
    <x v="3"/>
    <s v="Home &amp; Garden Item 19"/>
    <n v="2"/>
    <n v="41.23"/>
    <n v="15"/>
    <n v="82.46"/>
    <n v="12.37"/>
    <n v="70.09"/>
    <n v="33.58"/>
    <n v="36.51"/>
    <n v="52.1"/>
    <x v="2"/>
    <n v="3"/>
  </r>
  <r>
    <s v="ORD-10619"/>
    <x v="213"/>
    <s v="Aug 2024"/>
    <x v="2"/>
    <n v="2024"/>
    <x v="2"/>
    <x v="3"/>
    <x v="0"/>
    <x v="0"/>
    <s v="Beauty Item 08"/>
    <n v="3"/>
    <n v="71.45"/>
    <n v="15"/>
    <n v="214.35"/>
    <n v="32.15"/>
    <n v="182.2"/>
    <n v="79.78"/>
    <n v="102.42"/>
    <n v="56.2"/>
    <x v="2"/>
    <n v="1"/>
  </r>
  <r>
    <s v="ORD-10620"/>
    <x v="213"/>
    <s v="Aug 2024"/>
    <x v="2"/>
    <n v="2024"/>
    <x v="3"/>
    <x v="3"/>
    <x v="2"/>
    <x v="1"/>
    <s v="Clothing Item 35"/>
    <n v="9"/>
    <n v="114.86"/>
    <n v="5"/>
    <n v="1033.74"/>
    <n v="51.69"/>
    <n v="982.05"/>
    <n v="411.84"/>
    <n v="570.21"/>
    <n v="58.1"/>
    <x v="2"/>
    <n v="2"/>
  </r>
  <r>
    <s v="ORD-10621"/>
    <x v="213"/>
    <s v="Aug 2024"/>
    <x v="2"/>
    <n v="2024"/>
    <x v="3"/>
    <x v="1"/>
    <x v="1"/>
    <x v="5"/>
    <s v="Sports Item 48"/>
    <n v="13"/>
    <n v="307.89"/>
    <n v="0"/>
    <n v="4002.57"/>
    <n v="0"/>
    <n v="4002.57"/>
    <n v="1409.57"/>
    <n v="2593"/>
    <n v="64.8"/>
    <x v="1"/>
    <n v="1"/>
  </r>
  <r>
    <s v="ORD-10622"/>
    <x v="213"/>
    <s v="Aug 2024"/>
    <x v="2"/>
    <n v="2024"/>
    <x v="2"/>
    <x v="0"/>
    <x v="0"/>
    <x v="0"/>
    <s v="Beauty Item 26"/>
    <n v="5"/>
    <n v="118.65"/>
    <n v="0"/>
    <n v="593.25"/>
    <n v="0"/>
    <n v="593.25"/>
    <n v="274.14"/>
    <n v="319.11"/>
    <n v="53.8"/>
    <x v="1"/>
    <n v="5"/>
  </r>
  <r>
    <s v="ORD-10623"/>
    <x v="213"/>
    <s v="Aug 2024"/>
    <x v="2"/>
    <n v="2024"/>
    <x v="4"/>
    <x v="4"/>
    <x v="1"/>
    <x v="0"/>
    <s v="Beauty Item 11"/>
    <n v="14"/>
    <n v="29.62"/>
    <n v="20"/>
    <n v="414.68"/>
    <n v="82.94"/>
    <n v="331.74"/>
    <n v="157.09"/>
    <n v="174.65"/>
    <n v="52.6"/>
    <x v="2"/>
    <n v="1"/>
  </r>
  <r>
    <s v="ORD-10624"/>
    <x v="213"/>
    <s v="Aug 2024"/>
    <x v="2"/>
    <n v="2024"/>
    <x v="4"/>
    <x v="1"/>
    <x v="3"/>
    <x v="0"/>
    <s v="Beauty Item 05"/>
    <n v="7"/>
    <n v="149.09"/>
    <n v="0"/>
    <n v="1043.6300000000001"/>
    <n v="0"/>
    <n v="1043.6300000000001"/>
    <n v="540.77"/>
    <n v="502.86"/>
    <n v="48.2"/>
    <x v="2"/>
    <n v="1"/>
  </r>
  <r>
    <s v="ORD-10625"/>
    <x v="214"/>
    <s v="Aug 2024"/>
    <x v="2"/>
    <n v="2024"/>
    <x v="1"/>
    <x v="1"/>
    <x v="0"/>
    <x v="2"/>
    <s v="Food &amp; Beverage Item 43"/>
    <n v="17"/>
    <n v="22.56"/>
    <n v="20"/>
    <n v="383.52"/>
    <n v="76.7"/>
    <n v="306.82"/>
    <n v="143.72"/>
    <n v="163.1"/>
    <n v="53.2"/>
    <x v="0"/>
    <n v="4"/>
  </r>
  <r>
    <s v="ORD-10626"/>
    <x v="215"/>
    <s v="Aug 2024"/>
    <x v="2"/>
    <n v="2024"/>
    <x v="1"/>
    <x v="5"/>
    <x v="0"/>
    <x v="2"/>
    <s v="Food &amp; Beverage Item 49"/>
    <n v="8"/>
    <n v="73.73"/>
    <n v="0"/>
    <n v="589.84"/>
    <n v="0"/>
    <n v="589.84"/>
    <n v="235.33"/>
    <n v="354.51"/>
    <n v="60.1"/>
    <x v="0"/>
    <n v="5"/>
  </r>
  <r>
    <s v="ORD-10627"/>
    <x v="215"/>
    <s v="Aug 2024"/>
    <x v="2"/>
    <n v="2024"/>
    <x v="3"/>
    <x v="7"/>
    <x v="1"/>
    <x v="0"/>
    <s v="Beauty Item 01"/>
    <n v="18"/>
    <n v="90.66"/>
    <n v="20"/>
    <n v="1631.88"/>
    <n v="326.38"/>
    <n v="1305.5"/>
    <n v="745.62"/>
    <n v="559.88"/>
    <n v="42.9"/>
    <x v="2"/>
    <n v="1"/>
  </r>
  <r>
    <s v="ORD-10628"/>
    <x v="215"/>
    <s v="Aug 2024"/>
    <x v="2"/>
    <n v="2024"/>
    <x v="1"/>
    <x v="4"/>
    <x v="3"/>
    <x v="4"/>
    <s v="Electronics Item 44"/>
    <n v="1"/>
    <n v="714.1"/>
    <n v="5"/>
    <n v="714.1"/>
    <n v="35.71"/>
    <n v="678.39"/>
    <n v="316.75"/>
    <n v="361.64"/>
    <n v="53.3"/>
    <x v="1"/>
    <n v="1"/>
  </r>
  <r>
    <s v="ORD-10629"/>
    <x v="216"/>
    <s v="Aug 2024"/>
    <x v="2"/>
    <n v="2024"/>
    <x v="2"/>
    <x v="9"/>
    <x v="3"/>
    <x v="0"/>
    <s v="Beauty Item 18"/>
    <n v="13"/>
    <n v="118.16"/>
    <n v="0"/>
    <n v="1536.08"/>
    <n v="0"/>
    <n v="1536.08"/>
    <n v="711.98"/>
    <n v="824.1"/>
    <n v="53.6"/>
    <x v="2"/>
    <n v="2"/>
  </r>
  <r>
    <s v="ORD-10630"/>
    <x v="216"/>
    <s v="Aug 2024"/>
    <x v="2"/>
    <n v="2024"/>
    <x v="1"/>
    <x v="8"/>
    <x v="0"/>
    <x v="2"/>
    <s v="Food &amp; Beverage Item 10"/>
    <n v="12"/>
    <n v="66.38"/>
    <n v="10"/>
    <n v="796.56"/>
    <n v="79.66"/>
    <n v="716.9"/>
    <n v="307.47000000000003"/>
    <n v="409.43"/>
    <n v="57.1"/>
    <x v="1"/>
    <n v="3"/>
  </r>
  <r>
    <s v="ORD-10631"/>
    <x v="216"/>
    <s v="Aug 2024"/>
    <x v="2"/>
    <n v="2024"/>
    <x v="0"/>
    <x v="9"/>
    <x v="1"/>
    <x v="2"/>
    <s v="Food &amp; Beverage Item 29"/>
    <n v="16"/>
    <n v="22.77"/>
    <n v="20"/>
    <n v="364.32"/>
    <n v="72.86"/>
    <n v="291.45999999999998"/>
    <n v="138.93"/>
    <n v="152.53"/>
    <n v="52.3"/>
    <x v="2"/>
    <n v="3"/>
  </r>
  <r>
    <s v="ORD-10632"/>
    <x v="216"/>
    <s v="Aug 2024"/>
    <x v="2"/>
    <n v="2024"/>
    <x v="3"/>
    <x v="5"/>
    <x v="0"/>
    <x v="3"/>
    <s v="Home &amp; Garden Item 23"/>
    <n v="18"/>
    <n v="440.6"/>
    <n v="10"/>
    <n v="7930.8"/>
    <n v="793.08"/>
    <n v="7137.72"/>
    <n v="3011.18"/>
    <n v="4126.54"/>
    <n v="57.8"/>
    <x v="2"/>
    <n v="2"/>
  </r>
  <r>
    <s v="ORD-10633"/>
    <x v="217"/>
    <s v="Aug 2024"/>
    <x v="2"/>
    <n v="2024"/>
    <x v="0"/>
    <x v="4"/>
    <x v="2"/>
    <x v="4"/>
    <s v="Electronics Item 12"/>
    <n v="16"/>
    <n v="1183.55"/>
    <n v="10"/>
    <n v="18936.8"/>
    <n v="1893.68"/>
    <n v="17043.12"/>
    <n v="9874.1299999999992"/>
    <n v="7168.99"/>
    <n v="42.1"/>
    <x v="2"/>
    <n v="1"/>
  </r>
  <r>
    <s v="ORD-10634"/>
    <x v="218"/>
    <s v="Aug 2024"/>
    <x v="2"/>
    <n v="2024"/>
    <x v="3"/>
    <x v="6"/>
    <x v="3"/>
    <x v="1"/>
    <s v="Clothing Item 14"/>
    <n v="12"/>
    <n v="111.43"/>
    <n v="5"/>
    <n v="1337.16"/>
    <n v="66.86"/>
    <n v="1270.3"/>
    <n v="791.38"/>
    <n v="478.92"/>
    <n v="37.700000000000003"/>
    <x v="2"/>
    <n v="1"/>
  </r>
  <r>
    <s v="ORD-10635"/>
    <x v="218"/>
    <s v="Aug 2024"/>
    <x v="2"/>
    <n v="2024"/>
    <x v="3"/>
    <x v="3"/>
    <x v="3"/>
    <x v="3"/>
    <s v="Home &amp; Garden Item 46"/>
    <n v="19"/>
    <n v="218.51"/>
    <n v="15"/>
    <n v="4151.6899999999996"/>
    <n v="622.75"/>
    <n v="3528.94"/>
    <n v="2090.09"/>
    <n v="1438.85"/>
    <n v="40.799999999999997"/>
    <x v="1"/>
    <n v="4"/>
  </r>
  <r>
    <s v="ORD-10636"/>
    <x v="218"/>
    <s v="Aug 2024"/>
    <x v="2"/>
    <n v="2024"/>
    <x v="2"/>
    <x v="9"/>
    <x v="0"/>
    <x v="2"/>
    <s v="Food &amp; Beverage Item 03"/>
    <n v="17"/>
    <n v="25.64"/>
    <n v="15"/>
    <n v="435.88"/>
    <n v="65.38"/>
    <n v="370.5"/>
    <n v="205.77"/>
    <n v="164.73"/>
    <n v="44.5"/>
    <x v="1"/>
    <n v="3"/>
  </r>
  <r>
    <s v="ORD-10637"/>
    <x v="218"/>
    <s v="Aug 2024"/>
    <x v="2"/>
    <n v="2024"/>
    <x v="4"/>
    <x v="5"/>
    <x v="0"/>
    <x v="3"/>
    <s v="Home &amp; Garden Item 44"/>
    <n v="11"/>
    <n v="287.22000000000003"/>
    <n v="0"/>
    <n v="3159.42"/>
    <n v="0"/>
    <n v="3159.42"/>
    <n v="1375.62"/>
    <n v="1783.8"/>
    <n v="56.5"/>
    <x v="2"/>
    <n v="2"/>
  </r>
  <r>
    <s v="ORD-10638"/>
    <x v="218"/>
    <s v="Aug 2024"/>
    <x v="2"/>
    <n v="2024"/>
    <x v="1"/>
    <x v="8"/>
    <x v="0"/>
    <x v="3"/>
    <s v="Home &amp; Garden Item 35"/>
    <n v="13"/>
    <n v="304"/>
    <n v="15"/>
    <n v="3952"/>
    <n v="592.79999999999995"/>
    <n v="3359.2"/>
    <n v="1924.41"/>
    <n v="1434.79"/>
    <n v="42.7"/>
    <x v="2"/>
    <n v="4"/>
  </r>
  <r>
    <s v="ORD-10639"/>
    <x v="218"/>
    <s v="Aug 2024"/>
    <x v="2"/>
    <n v="2024"/>
    <x v="0"/>
    <x v="7"/>
    <x v="3"/>
    <x v="3"/>
    <s v="Home &amp; Garden Item 14"/>
    <n v="9"/>
    <n v="372.9"/>
    <n v="5"/>
    <n v="3356.1"/>
    <n v="167.81"/>
    <n v="3188.29"/>
    <n v="1889.52"/>
    <n v="1298.77"/>
    <n v="40.700000000000003"/>
    <x v="2"/>
    <n v="1"/>
  </r>
  <r>
    <s v="ORD-10640"/>
    <x v="219"/>
    <s v="Aug 2024"/>
    <x v="2"/>
    <n v="2024"/>
    <x v="1"/>
    <x v="1"/>
    <x v="3"/>
    <x v="4"/>
    <s v="Electronics Item 29"/>
    <n v="6"/>
    <n v="251.4"/>
    <n v="0"/>
    <n v="1508.4"/>
    <n v="0"/>
    <n v="1508.4"/>
    <n v="714.79"/>
    <n v="793.61"/>
    <n v="52.6"/>
    <x v="1"/>
    <n v="4"/>
  </r>
  <r>
    <s v="ORD-10641"/>
    <x v="219"/>
    <s v="Aug 2024"/>
    <x v="2"/>
    <n v="2024"/>
    <x v="3"/>
    <x v="2"/>
    <x v="3"/>
    <x v="1"/>
    <s v="Clothing Item 45"/>
    <n v="1"/>
    <n v="140.57"/>
    <n v="0"/>
    <n v="140.57"/>
    <n v="0"/>
    <n v="140.57"/>
    <n v="85.19"/>
    <n v="55.38"/>
    <n v="39.4"/>
    <x v="2"/>
    <n v="1"/>
  </r>
  <r>
    <s v="ORD-10642"/>
    <x v="220"/>
    <s v="Aug 2024"/>
    <x v="2"/>
    <n v="2024"/>
    <x v="0"/>
    <x v="5"/>
    <x v="2"/>
    <x v="1"/>
    <s v="Clothing Item 04"/>
    <n v="11"/>
    <n v="117.83"/>
    <n v="20"/>
    <n v="1296.1300000000001"/>
    <n v="259.23"/>
    <n v="1036.9000000000001"/>
    <n v="419.66"/>
    <n v="617.24"/>
    <n v="59.5"/>
    <x v="0"/>
    <n v="4"/>
  </r>
  <r>
    <s v="ORD-10643"/>
    <x v="220"/>
    <s v="Aug 2024"/>
    <x v="2"/>
    <n v="2024"/>
    <x v="0"/>
    <x v="5"/>
    <x v="0"/>
    <x v="0"/>
    <s v="Beauty Item 41"/>
    <n v="20"/>
    <n v="16.559999999999999"/>
    <n v="15"/>
    <n v="331.2"/>
    <n v="49.68"/>
    <n v="281.52"/>
    <n v="122.99"/>
    <n v="158.53"/>
    <n v="56.3"/>
    <x v="2"/>
    <n v="1"/>
  </r>
  <r>
    <s v="ORD-10644"/>
    <x v="220"/>
    <s v="Aug 2024"/>
    <x v="2"/>
    <n v="2024"/>
    <x v="3"/>
    <x v="2"/>
    <x v="3"/>
    <x v="2"/>
    <s v="Food &amp; Beverage Item 34"/>
    <n v="8"/>
    <n v="30.83"/>
    <n v="0"/>
    <n v="246.64"/>
    <n v="0"/>
    <n v="246.64"/>
    <n v="133.44999999999999"/>
    <n v="113.19"/>
    <n v="45.9"/>
    <x v="2"/>
    <n v="4"/>
  </r>
  <r>
    <s v="ORD-10645"/>
    <x v="221"/>
    <s v="Aug 2024"/>
    <x v="2"/>
    <n v="2024"/>
    <x v="1"/>
    <x v="8"/>
    <x v="2"/>
    <x v="5"/>
    <s v="Sports Item 42"/>
    <n v="1"/>
    <n v="266.24"/>
    <n v="0"/>
    <n v="266.24"/>
    <n v="0"/>
    <n v="266.24"/>
    <n v="142.52000000000001"/>
    <n v="123.72"/>
    <n v="46.5"/>
    <x v="1"/>
    <n v="1"/>
  </r>
  <r>
    <s v="ORD-10646"/>
    <x v="221"/>
    <s v="Aug 2024"/>
    <x v="2"/>
    <n v="2024"/>
    <x v="0"/>
    <x v="5"/>
    <x v="0"/>
    <x v="4"/>
    <s v="Electronics Item 43"/>
    <n v="9"/>
    <n v="488.33"/>
    <n v="0"/>
    <n v="4394.97"/>
    <n v="0"/>
    <n v="4394.97"/>
    <n v="1897.05"/>
    <n v="2497.92"/>
    <n v="56.8"/>
    <x v="1"/>
    <n v="2"/>
  </r>
  <r>
    <s v="ORD-10647"/>
    <x v="221"/>
    <s v="Aug 2024"/>
    <x v="2"/>
    <n v="2024"/>
    <x v="1"/>
    <x v="2"/>
    <x v="1"/>
    <x v="1"/>
    <s v="Clothing Item 46"/>
    <n v="2"/>
    <n v="112.03"/>
    <n v="0"/>
    <n v="224.06"/>
    <n v="0"/>
    <n v="224.06"/>
    <n v="120.28"/>
    <n v="103.78"/>
    <n v="46.3"/>
    <x v="2"/>
    <n v="4"/>
  </r>
  <r>
    <s v="ORD-10648"/>
    <x v="222"/>
    <s v="Aug 2024"/>
    <x v="2"/>
    <n v="2024"/>
    <x v="0"/>
    <x v="5"/>
    <x v="1"/>
    <x v="2"/>
    <s v="Food &amp; Beverage Item 43"/>
    <n v="16"/>
    <n v="57.22"/>
    <n v="20"/>
    <n v="915.52"/>
    <n v="183.1"/>
    <n v="732.42"/>
    <n v="297.61"/>
    <n v="434.81"/>
    <n v="59.4"/>
    <x v="2"/>
    <n v="4"/>
  </r>
  <r>
    <s v="ORD-10649"/>
    <x v="222"/>
    <s v="Aug 2024"/>
    <x v="2"/>
    <n v="2024"/>
    <x v="4"/>
    <x v="1"/>
    <x v="0"/>
    <x v="2"/>
    <s v="Food &amp; Beverage Item 07"/>
    <n v="17"/>
    <n v="35.619999999999997"/>
    <n v="15"/>
    <n v="605.54"/>
    <n v="90.83"/>
    <n v="514.71"/>
    <n v="183.14"/>
    <n v="331.57"/>
    <n v="64.400000000000006"/>
    <x v="2"/>
    <n v="3"/>
  </r>
  <r>
    <s v="ORD-10650"/>
    <x v="222"/>
    <s v="Aug 2024"/>
    <x v="2"/>
    <n v="2024"/>
    <x v="2"/>
    <x v="0"/>
    <x v="0"/>
    <x v="4"/>
    <s v="Electronics Item 25"/>
    <n v="12"/>
    <n v="394.87"/>
    <n v="20"/>
    <n v="4738.4399999999996"/>
    <n v="947.69"/>
    <n v="3790.75"/>
    <n v="1383.21"/>
    <n v="2407.54"/>
    <n v="63.5"/>
    <x v="1"/>
    <n v="4"/>
  </r>
  <r>
    <s v="ORD-10651"/>
    <x v="223"/>
    <s v="Aug 2024"/>
    <x v="2"/>
    <n v="2024"/>
    <x v="3"/>
    <x v="1"/>
    <x v="0"/>
    <x v="4"/>
    <s v="Electronics Item 45"/>
    <n v="19"/>
    <n v="261.45999999999998"/>
    <n v="0"/>
    <n v="4967.74"/>
    <n v="0"/>
    <n v="4967.74"/>
    <n v="2535.9899999999998"/>
    <n v="2431.75"/>
    <n v="49"/>
    <x v="2"/>
    <n v="2"/>
  </r>
  <r>
    <s v="ORD-10652"/>
    <x v="223"/>
    <s v="Aug 2024"/>
    <x v="2"/>
    <n v="2024"/>
    <x v="2"/>
    <x v="1"/>
    <x v="1"/>
    <x v="2"/>
    <s v="Food &amp; Beverage Item 20"/>
    <n v="8"/>
    <n v="45.34"/>
    <n v="10"/>
    <n v="362.72"/>
    <n v="36.270000000000003"/>
    <n v="326.45"/>
    <n v="132.47"/>
    <n v="193.98"/>
    <n v="59.4"/>
    <x v="2"/>
    <n v="2"/>
  </r>
  <r>
    <s v="ORD-10653"/>
    <x v="223"/>
    <s v="Aug 2024"/>
    <x v="2"/>
    <n v="2024"/>
    <x v="1"/>
    <x v="7"/>
    <x v="2"/>
    <x v="0"/>
    <s v="Beauty Item 29"/>
    <n v="6"/>
    <n v="43.74"/>
    <n v="10"/>
    <n v="262.44"/>
    <n v="26.24"/>
    <n v="236.2"/>
    <n v="89.92"/>
    <n v="146.28"/>
    <n v="61.9"/>
    <x v="2"/>
    <n v="3"/>
  </r>
  <r>
    <s v="ORD-10654"/>
    <x v="224"/>
    <s v="Aug 2024"/>
    <x v="2"/>
    <n v="2024"/>
    <x v="2"/>
    <x v="4"/>
    <x v="1"/>
    <x v="1"/>
    <s v="Clothing Item 04"/>
    <n v="4"/>
    <n v="56.69"/>
    <n v="0"/>
    <n v="226.76"/>
    <n v="0"/>
    <n v="226.76"/>
    <n v="97.68"/>
    <n v="129.08000000000001"/>
    <n v="56.9"/>
    <x v="2"/>
    <n v="1"/>
  </r>
  <r>
    <s v="ORD-10655"/>
    <x v="224"/>
    <s v="Aug 2024"/>
    <x v="2"/>
    <n v="2024"/>
    <x v="2"/>
    <x v="0"/>
    <x v="3"/>
    <x v="5"/>
    <s v="Sports Item 39"/>
    <n v="8"/>
    <n v="346.58"/>
    <n v="15"/>
    <n v="2772.64"/>
    <n v="415.9"/>
    <n v="2356.7399999999998"/>
    <n v="1330.52"/>
    <n v="1026.22"/>
    <n v="43.5"/>
    <x v="2"/>
    <n v="2"/>
  </r>
  <r>
    <s v="ORD-10656"/>
    <x v="224"/>
    <s v="Aug 2024"/>
    <x v="2"/>
    <n v="2024"/>
    <x v="2"/>
    <x v="7"/>
    <x v="0"/>
    <x v="5"/>
    <s v="Sports Item 01"/>
    <n v="8"/>
    <n v="79.13"/>
    <n v="0"/>
    <n v="633.04"/>
    <n v="0"/>
    <n v="633.04"/>
    <n v="359.65"/>
    <n v="273.39"/>
    <n v="43.2"/>
    <x v="2"/>
    <n v="5"/>
  </r>
  <r>
    <s v="ORD-10657"/>
    <x v="224"/>
    <s v="Aug 2024"/>
    <x v="2"/>
    <n v="2024"/>
    <x v="2"/>
    <x v="2"/>
    <x v="1"/>
    <x v="5"/>
    <s v="Sports Item 04"/>
    <n v="9"/>
    <n v="198.63"/>
    <n v="0"/>
    <n v="1787.67"/>
    <n v="0"/>
    <n v="1787.67"/>
    <n v="750.54"/>
    <n v="1037.1300000000001"/>
    <n v="58"/>
    <x v="2"/>
    <n v="5"/>
  </r>
  <r>
    <s v="ORD-10658"/>
    <x v="225"/>
    <s v="Aug 2024"/>
    <x v="2"/>
    <n v="2024"/>
    <x v="3"/>
    <x v="1"/>
    <x v="0"/>
    <x v="3"/>
    <s v="Home &amp; Garden Item 50"/>
    <n v="18"/>
    <n v="47.66"/>
    <n v="0"/>
    <n v="857.88"/>
    <n v="0"/>
    <n v="857.88"/>
    <n v="339.04"/>
    <n v="518.84"/>
    <n v="60.5"/>
    <x v="2"/>
    <n v="1"/>
  </r>
  <r>
    <s v="ORD-10659"/>
    <x v="225"/>
    <s v="Aug 2024"/>
    <x v="2"/>
    <n v="2024"/>
    <x v="4"/>
    <x v="7"/>
    <x v="2"/>
    <x v="1"/>
    <s v="Clothing Item 25"/>
    <n v="2"/>
    <n v="91.35"/>
    <n v="5"/>
    <n v="182.7"/>
    <n v="9.1300000000000008"/>
    <n v="173.57"/>
    <n v="86.45"/>
    <n v="87.12"/>
    <n v="50.2"/>
    <x v="1"/>
    <n v="1"/>
  </r>
  <r>
    <s v="ORD-10660"/>
    <x v="225"/>
    <s v="Aug 2024"/>
    <x v="2"/>
    <n v="2024"/>
    <x v="4"/>
    <x v="3"/>
    <x v="3"/>
    <x v="3"/>
    <s v="Home &amp; Garden Item 50"/>
    <n v="8"/>
    <n v="219.92"/>
    <n v="0"/>
    <n v="1759.36"/>
    <n v="0"/>
    <n v="1759.36"/>
    <n v="796.24"/>
    <n v="963.12"/>
    <n v="54.7"/>
    <x v="1"/>
    <n v="3"/>
  </r>
  <r>
    <s v="ORD-10661"/>
    <x v="226"/>
    <s v="Aug 2024"/>
    <x v="2"/>
    <n v="2024"/>
    <x v="2"/>
    <x v="6"/>
    <x v="1"/>
    <x v="3"/>
    <s v="Home &amp; Garden Item 13"/>
    <n v="19"/>
    <n v="274.39999999999998"/>
    <n v="20"/>
    <n v="5213.6000000000004"/>
    <n v="1042.72"/>
    <n v="4170.88"/>
    <n v="1849.67"/>
    <n v="2321.21"/>
    <n v="55.7"/>
    <x v="2"/>
    <n v="3"/>
  </r>
  <r>
    <s v="ORD-10662"/>
    <x v="226"/>
    <s v="Aug 2024"/>
    <x v="2"/>
    <n v="2024"/>
    <x v="4"/>
    <x v="7"/>
    <x v="2"/>
    <x v="2"/>
    <s v="Food &amp; Beverage Item 16"/>
    <n v="13"/>
    <n v="34.130000000000003"/>
    <n v="15"/>
    <n v="443.69"/>
    <n v="66.55"/>
    <n v="377.14"/>
    <n v="222.45"/>
    <n v="154.69"/>
    <n v="41"/>
    <x v="2"/>
    <n v="4"/>
  </r>
  <r>
    <s v="ORD-10663"/>
    <x v="226"/>
    <s v="Aug 2024"/>
    <x v="2"/>
    <n v="2024"/>
    <x v="4"/>
    <x v="4"/>
    <x v="2"/>
    <x v="3"/>
    <s v="Home &amp; Garden Item 24"/>
    <n v="12"/>
    <n v="142.4"/>
    <n v="15"/>
    <n v="1708.8"/>
    <n v="256.32"/>
    <n v="1452.48"/>
    <n v="943.22"/>
    <n v="509.26"/>
    <n v="35.1"/>
    <x v="2"/>
    <n v="5"/>
  </r>
  <r>
    <s v="ORD-10664"/>
    <x v="226"/>
    <s v="Aug 2024"/>
    <x v="2"/>
    <n v="2024"/>
    <x v="3"/>
    <x v="1"/>
    <x v="3"/>
    <x v="0"/>
    <s v="Beauty Item 16"/>
    <n v="6"/>
    <n v="56.24"/>
    <n v="15"/>
    <n v="337.44"/>
    <n v="50.62"/>
    <n v="286.82"/>
    <n v="140.29"/>
    <n v="146.53"/>
    <n v="51.1"/>
    <x v="2"/>
    <n v="5"/>
  </r>
  <r>
    <s v="ORD-10665"/>
    <x v="227"/>
    <s v="Aug 2024"/>
    <x v="2"/>
    <n v="2024"/>
    <x v="2"/>
    <x v="8"/>
    <x v="3"/>
    <x v="0"/>
    <s v="Beauty Item 13"/>
    <n v="6"/>
    <n v="21.07"/>
    <n v="5"/>
    <n v="126.42"/>
    <n v="6.32"/>
    <n v="120.1"/>
    <n v="70.55"/>
    <n v="49.55"/>
    <n v="41.3"/>
    <x v="1"/>
    <n v="5"/>
  </r>
  <r>
    <s v="ORD-10666"/>
    <x v="227"/>
    <s v="Aug 2024"/>
    <x v="2"/>
    <n v="2024"/>
    <x v="1"/>
    <x v="7"/>
    <x v="3"/>
    <x v="4"/>
    <s v="Electronics Item 06"/>
    <n v="8"/>
    <n v="567.25"/>
    <n v="0"/>
    <n v="4538"/>
    <n v="0"/>
    <n v="4538"/>
    <n v="2037.9"/>
    <n v="2500.1"/>
    <n v="55.1"/>
    <x v="2"/>
    <n v="1"/>
  </r>
  <r>
    <s v="ORD-10667"/>
    <x v="227"/>
    <s v="Aug 2024"/>
    <x v="2"/>
    <n v="2024"/>
    <x v="2"/>
    <x v="1"/>
    <x v="2"/>
    <x v="4"/>
    <s v="Electronics Item 02"/>
    <n v="19"/>
    <n v="476.74"/>
    <n v="0"/>
    <n v="9058.06"/>
    <n v="0"/>
    <n v="9058.06"/>
    <n v="5462.59"/>
    <n v="3595.47"/>
    <n v="39.700000000000003"/>
    <x v="2"/>
    <n v="2"/>
  </r>
  <r>
    <s v="ORD-10668"/>
    <x v="227"/>
    <s v="Aug 2024"/>
    <x v="2"/>
    <n v="2024"/>
    <x v="4"/>
    <x v="8"/>
    <x v="1"/>
    <x v="1"/>
    <s v="Clothing Item 27"/>
    <n v="11"/>
    <n v="114.09"/>
    <n v="10"/>
    <n v="1254.99"/>
    <n v="125.5"/>
    <n v="1129.49"/>
    <n v="717.78"/>
    <n v="411.71"/>
    <n v="36.5"/>
    <x v="1"/>
    <n v="5"/>
  </r>
  <r>
    <s v="ORD-10669"/>
    <x v="227"/>
    <s v="Aug 2024"/>
    <x v="2"/>
    <n v="2024"/>
    <x v="1"/>
    <x v="7"/>
    <x v="2"/>
    <x v="1"/>
    <s v="Clothing Item 02"/>
    <n v="12"/>
    <n v="168.44"/>
    <n v="0"/>
    <n v="2021.28"/>
    <n v="0"/>
    <n v="2021.28"/>
    <n v="741.43"/>
    <n v="1279.8499999999999"/>
    <n v="63.3"/>
    <x v="1"/>
    <n v="3"/>
  </r>
  <r>
    <s v="ORD-10670"/>
    <x v="228"/>
    <s v="Aug 2024"/>
    <x v="2"/>
    <n v="2024"/>
    <x v="4"/>
    <x v="1"/>
    <x v="1"/>
    <x v="0"/>
    <s v="Beauty Item 01"/>
    <n v="19"/>
    <n v="17.22"/>
    <n v="0"/>
    <n v="327.18"/>
    <n v="0"/>
    <n v="327.18"/>
    <n v="190.65"/>
    <n v="136.53"/>
    <n v="41.7"/>
    <x v="0"/>
    <n v="1"/>
  </r>
  <r>
    <s v="ORD-10671"/>
    <x v="228"/>
    <s v="Aug 2024"/>
    <x v="2"/>
    <n v="2024"/>
    <x v="4"/>
    <x v="1"/>
    <x v="2"/>
    <x v="4"/>
    <s v="Electronics Item 22"/>
    <n v="1"/>
    <n v="483.74"/>
    <n v="0"/>
    <n v="483.74"/>
    <n v="0"/>
    <n v="483.74"/>
    <n v="179.67"/>
    <n v="304.07"/>
    <n v="62.9"/>
    <x v="1"/>
    <n v="2"/>
  </r>
  <r>
    <s v="ORD-10672"/>
    <x v="228"/>
    <s v="Aug 2024"/>
    <x v="2"/>
    <n v="2024"/>
    <x v="0"/>
    <x v="6"/>
    <x v="3"/>
    <x v="2"/>
    <s v="Food &amp; Beverage Item 13"/>
    <n v="12"/>
    <n v="50.37"/>
    <n v="20"/>
    <n v="604.44000000000005"/>
    <n v="120.89"/>
    <n v="483.55"/>
    <n v="237.44"/>
    <n v="246.11"/>
    <n v="50.9"/>
    <x v="2"/>
    <n v="5"/>
  </r>
  <r>
    <s v="ORD-10673"/>
    <x v="228"/>
    <s v="Aug 2024"/>
    <x v="2"/>
    <n v="2024"/>
    <x v="0"/>
    <x v="2"/>
    <x v="0"/>
    <x v="4"/>
    <s v="Electronics Item 44"/>
    <n v="19"/>
    <n v="95.48"/>
    <n v="5"/>
    <n v="1814.12"/>
    <n v="90.71"/>
    <n v="1723.41"/>
    <n v="702.56"/>
    <n v="1020.85"/>
    <n v="59.2"/>
    <x v="2"/>
    <n v="1"/>
  </r>
  <r>
    <s v="ORD-10674"/>
    <x v="229"/>
    <s v="Sep 2024"/>
    <x v="2"/>
    <n v="2024"/>
    <x v="0"/>
    <x v="6"/>
    <x v="2"/>
    <x v="3"/>
    <s v="Home &amp; Garden Item 43"/>
    <n v="19"/>
    <n v="54.94"/>
    <n v="0"/>
    <n v="1043.8599999999999"/>
    <n v="0"/>
    <n v="1043.8599999999999"/>
    <n v="628.89"/>
    <n v="414.97"/>
    <n v="39.799999999999997"/>
    <x v="1"/>
    <n v="5"/>
  </r>
  <r>
    <s v="ORD-10675"/>
    <x v="229"/>
    <s v="Sep 2024"/>
    <x v="2"/>
    <n v="2024"/>
    <x v="4"/>
    <x v="2"/>
    <x v="2"/>
    <x v="5"/>
    <s v="Sports Item 05"/>
    <n v="5"/>
    <n v="326.74"/>
    <n v="5"/>
    <n v="1633.7"/>
    <n v="81.69"/>
    <n v="1552.01"/>
    <n v="923.72"/>
    <n v="628.29"/>
    <n v="40.5"/>
    <x v="0"/>
    <n v="1"/>
  </r>
  <r>
    <s v="ORD-10676"/>
    <x v="229"/>
    <s v="Sep 2024"/>
    <x v="2"/>
    <n v="2024"/>
    <x v="2"/>
    <x v="5"/>
    <x v="0"/>
    <x v="2"/>
    <s v="Food &amp; Beverage Item 15"/>
    <n v="19"/>
    <n v="49.07"/>
    <n v="20"/>
    <n v="932.33"/>
    <n v="186.47"/>
    <n v="745.86"/>
    <n v="446.38"/>
    <n v="299.48"/>
    <n v="40.200000000000003"/>
    <x v="1"/>
    <n v="5"/>
  </r>
  <r>
    <s v="ORD-10677"/>
    <x v="230"/>
    <s v="Sep 2024"/>
    <x v="2"/>
    <n v="2024"/>
    <x v="2"/>
    <x v="9"/>
    <x v="2"/>
    <x v="5"/>
    <s v="Sports Item 07"/>
    <n v="7"/>
    <n v="276.79000000000002"/>
    <n v="20"/>
    <n v="1937.53"/>
    <n v="387.51"/>
    <n v="1550.02"/>
    <n v="599.22"/>
    <n v="950.8"/>
    <n v="61.3"/>
    <x v="2"/>
    <n v="5"/>
  </r>
  <r>
    <s v="ORD-10678"/>
    <x v="231"/>
    <s v="Sep 2024"/>
    <x v="2"/>
    <n v="2024"/>
    <x v="4"/>
    <x v="7"/>
    <x v="2"/>
    <x v="5"/>
    <s v="Sports Item 43"/>
    <n v="16"/>
    <n v="106.38"/>
    <n v="0"/>
    <n v="1702.08"/>
    <n v="0"/>
    <n v="1702.08"/>
    <n v="987.96"/>
    <n v="714.12"/>
    <n v="42"/>
    <x v="2"/>
    <n v="2"/>
  </r>
  <r>
    <s v="ORD-10679"/>
    <x v="232"/>
    <s v="Sep 2024"/>
    <x v="2"/>
    <n v="2024"/>
    <x v="0"/>
    <x v="1"/>
    <x v="2"/>
    <x v="0"/>
    <s v="Beauty Item 11"/>
    <n v="18"/>
    <n v="39.24"/>
    <n v="15"/>
    <n v="706.32"/>
    <n v="105.95"/>
    <n v="600.37"/>
    <n v="254.97"/>
    <n v="345.4"/>
    <n v="57.5"/>
    <x v="2"/>
    <n v="2"/>
  </r>
  <r>
    <s v="ORD-10680"/>
    <x v="232"/>
    <s v="Sep 2024"/>
    <x v="2"/>
    <n v="2024"/>
    <x v="4"/>
    <x v="5"/>
    <x v="2"/>
    <x v="5"/>
    <s v="Sports Item 47"/>
    <n v="10"/>
    <n v="365.14"/>
    <n v="0"/>
    <n v="3651.4"/>
    <n v="0"/>
    <n v="3651.4"/>
    <n v="2122.81"/>
    <n v="1528.59"/>
    <n v="41.9"/>
    <x v="2"/>
    <n v="3"/>
  </r>
  <r>
    <s v="ORD-10681"/>
    <x v="233"/>
    <s v="Sep 2024"/>
    <x v="2"/>
    <n v="2024"/>
    <x v="2"/>
    <x v="8"/>
    <x v="2"/>
    <x v="5"/>
    <s v="Sports Item 11"/>
    <n v="6"/>
    <n v="138.69999999999999"/>
    <n v="0"/>
    <n v="832.2"/>
    <n v="0"/>
    <n v="832.2"/>
    <n v="401.86"/>
    <n v="430.34"/>
    <n v="51.7"/>
    <x v="2"/>
    <n v="1"/>
  </r>
  <r>
    <s v="ORD-10682"/>
    <x v="233"/>
    <s v="Sep 2024"/>
    <x v="2"/>
    <n v="2024"/>
    <x v="2"/>
    <x v="6"/>
    <x v="1"/>
    <x v="3"/>
    <s v="Home &amp; Garden Item 03"/>
    <n v="16"/>
    <n v="456.32"/>
    <n v="20"/>
    <n v="7301.12"/>
    <n v="1460.22"/>
    <n v="5840.9"/>
    <n v="3336.82"/>
    <n v="2504.08"/>
    <n v="42.9"/>
    <x v="2"/>
    <n v="2"/>
  </r>
  <r>
    <s v="ORD-10683"/>
    <x v="233"/>
    <s v="Sep 2024"/>
    <x v="2"/>
    <n v="2024"/>
    <x v="3"/>
    <x v="9"/>
    <x v="1"/>
    <x v="1"/>
    <s v="Clothing Item 27"/>
    <n v="2"/>
    <n v="54.18"/>
    <n v="5"/>
    <n v="108.36"/>
    <n v="5.42"/>
    <n v="102.94"/>
    <n v="37.06"/>
    <n v="65.88"/>
    <n v="64"/>
    <x v="2"/>
    <n v="1"/>
  </r>
  <r>
    <s v="ORD-10684"/>
    <x v="233"/>
    <s v="Sep 2024"/>
    <x v="2"/>
    <n v="2024"/>
    <x v="2"/>
    <x v="9"/>
    <x v="1"/>
    <x v="0"/>
    <s v="Beauty Item 33"/>
    <n v="3"/>
    <n v="36.6"/>
    <n v="0"/>
    <n v="109.8"/>
    <n v="0"/>
    <n v="109.8"/>
    <n v="53.61"/>
    <n v="56.19"/>
    <n v="51.2"/>
    <x v="0"/>
    <n v="3"/>
  </r>
  <r>
    <s v="ORD-10685"/>
    <x v="233"/>
    <s v="Sep 2024"/>
    <x v="2"/>
    <n v="2024"/>
    <x v="3"/>
    <x v="5"/>
    <x v="2"/>
    <x v="4"/>
    <s v="Electronics Item 07"/>
    <n v="2"/>
    <n v="902.7"/>
    <n v="15"/>
    <n v="1805.4"/>
    <n v="270.81"/>
    <n v="1534.59"/>
    <n v="892.06"/>
    <n v="642.53"/>
    <n v="41.9"/>
    <x v="2"/>
    <n v="2"/>
  </r>
  <r>
    <s v="ORD-10686"/>
    <x v="234"/>
    <s v="Sep 2024"/>
    <x v="2"/>
    <n v="2024"/>
    <x v="4"/>
    <x v="3"/>
    <x v="2"/>
    <x v="3"/>
    <s v="Home &amp; Garden Item 21"/>
    <n v="8"/>
    <n v="378.5"/>
    <n v="20"/>
    <n v="3028"/>
    <n v="605.6"/>
    <n v="2422.4"/>
    <n v="1226.56"/>
    <n v="1195.8399999999999"/>
    <n v="49.4"/>
    <x v="2"/>
    <n v="2"/>
  </r>
  <r>
    <s v="ORD-10687"/>
    <x v="234"/>
    <s v="Sep 2024"/>
    <x v="2"/>
    <n v="2024"/>
    <x v="2"/>
    <x v="6"/>
    <x v="1"/>
    <x v="5"/>
    <s v="Sports Item 21"/>
    <n v="20"/>
    <n v="307.87"/>
    <n v="15"/>
    <n v="6157.4"/>
    <n v="923.61"/>
    <n v="5233.79"/>
    <n v="3373.88"/>
    <n v="1859.91"/>
    <n v="35.5"/>
    <x v="2"/>
    <n v="1"/>
  </r>
  <r>
    <s v="ORD-10688"/>
    <x v="234"/>
    <s v="Sep 2024"/>
    <x v="2"/>
    <n v="2024"/>
    <x v="3"/>
    <x v="2"/>
    <x v="3"/>
    <x v="4"/>
    <s v="Electronics Item 36"/>
    <n v="8"/>
    <n v="1101.6099999999999"/>
    <n v="10"/>
    <n v="8812.8799999999992"/>
    <n v="881.29"/>
    <n v="7931.59"/>
    <n v="3901.13"/>
    <n v="4030.46"/>
    <n v="50.8"/>
    <x v="2"/>
    <n v="2"/>
  </r>
  <r>
    <s v="ORD-10689"/>
    <x v="235"/>
    <s v="Sep 2024"/>
    <x v="2"/>
    <n v="2024"/>
    <x v="2"/>
    <x v="3"/>
    <x v="1"/>
    <x v="3"/>
    <s v="Home &amp; Garden Item 41"/>
    <n v="1"/>
    <n v="353.9"/>
    <n v="0"/>
    <n v="353.9"/>
    <n v="0"/>
    <n v="353.9"/>
    <n v="196.21"/>
    <n v="157.69"/>
    <n v="44.6"/>
    <x v="1"/>
    <n v="3"/>
  </r>
  <r>
    <s v="ORD-10690"/>
    <x v="235"/>
    <s v="Sep 2024"/>
    <x v="2"/>
    <n v="2024"/>
    <x v="3"/>
    <x v="6"/>
    <x v="2"/>
    <x v="2"/>
    <s v="Food &amp; Beverage Item 13"/>
    <n v="17"/>
    <n v="57.78"/>
    <n v="20"/>
    <n v="982.26"/>
    <n v="196.45"/>
    <n v="785.81"/>
    <n v="348.61"/>
    <n v="437.2"/>
    <n v="55.6"/>
    <x v="0"/>
    <n v="3"/>
  </r>
  <r>
    <s v="ORD-10691"/>
    <x v="235"/>
    <s v="Sep 2024"/>
    <x v="2"/>
    <n v="2024"/>
    <x v="2"/>
    <x v="1"/>
    <x v="2"/>
    <x v="2"/>
    <s v="Food &amp; Beverage Item 40"/>
    <n v="16"/>
    <n v="34.75"/>
    <n v="5"/>
    <n v="556"/>
    <n v="27.8"/>
    <n v="528.20000000000005"/>
    <n v="236.06"/>
    <n v="292.14"/>
    <n v="55.3"/>
    <x v="2"/>
    <n v="4"/>
  </r>
  <r>
    <s v="ORD-10692"/>
    <x v="235"/>
    <s v="Sep 2024"/>
    <x v="2"/>
    <n v="2024"/>
    <x v="2"/>
    <x v="1"/>
    <x v="3"/>
    <x v="0"/>
    <s v="Beauty Item 14"/>
    <n v="1"/>
    <n v="43.51"/>
    <n v="5"/>
    <n v="43.51"/>
    <n v="2.1800000000000002"/>
    <n v="41.33"/>
    <n v="22.27"/>
    <n v="19.059999999999999"/>
    <n v="46.1"/>
    <x v="1"/>
    <n v="2"/>
  </r>
  <r>
    <s v="ORD-10693"/>
    <x v="236"/>
    <s v="Sep 2024"/>
    <x v="2"/>
    <n v="2024"/>
    <x v="1"/>
    <x v="6"/>
    <x v="1"/>
    <x v="5"/>
    <s v="Sports Item 35"/>
    <n v="11"/>
    <n v="145.61000000000001"/>
    <n v="15"/>
    <n v="1601.71"/>
    <n v="240.26"/>
    <n v="1361.45"/>
    <n v="493.74"/>
    <n v="867.71"/>
    <n v="63.7"/>
    <x v="1"/>
    <n v="1"/>
  </r>
  <r>
    <s v="ORD-10694"/>
    <x v="236"/>
    <s v="Sep 2024"/>
    <x v="2"/>
    <n v="2024"/>
    <x v="4"/>
    <x v="7"/>
    <x v="0"/>
    <x v="0"/>
    <s v="Beauty Item 26"/>
    <n v="20"/>
    <n v="49.63"/>
    <n v="10"/>
    <n v="992.6"/>
    <n v="99.26"/>
    <n v="893.34"/>
    <n v="563.9"/>
    <n v="329.44"/>
    <n v="36.9"/>
    <x v="2"/>
    <n v="3"/>
  </r>
  <r>
    <s v="ORD-10695"/>
    <x v="236"/>
    <s v="Sep 2024"/>
    <x v="2"/>
    <n v="2024"/>
    <x v="4"/>
    <x v="3"/>
    <x v="3"/>
    <x v="2"/>
    <s v="Food &amp; Beverage Item 28"/>
    <n v="7"/>
    <n v="39.97"/>
    <n v="10"/>
    <n v="279.79000000000002"/>
    <n v="27.98"/>
    <n v="251.81"/>
    <n v="127.49"/>
    <n v="124.32"/>
    <n v="49.4"/>
    <x v="2"/>
    <n v="5"/>
  </r>
  <r>
    <s v="ORD-10696"/>
    <x v="237"/>
    <s v="Sep 2024"/>
    <x v="2"/>
    <n v="2024"/>
    <x v="2"/>
    <x v="2"/>
    <x v="2"/>
    <x v="3"/>
    <s v="Home &amp; Garden Item 08"/>
    <n v="5"/>
    <n v="331.39"/>
    <n v="0"/>
    <n v="1656.95"/>
    <n v="0"/>
    <n v="1656.95"/>
    <n v="705.85"/>
    <n v="951.1"/>
    <n v="57.4"/>
    <x v="1"/>
    <n v="3"/>
  </r>
  <r>
    <s v="ORD-10697"/>
    <x v="238"/>
    <s v="Sep 2024"/>
    <x v="2"/>
    <n v="2024"/>
    <x v="3"/>
    <x v="2"/>
    <x v="3"/>
    <x v="4"/>
    <s v="Electronics Item 15"/>
    <n v="11"/>
    <n v="404.69"/>
    <n v="5"/>
    <n v="4451.59"/>
    <n v="222.58"/>
    <n v="4229.01"/>
    <n v="2290.25"/>
    <n v="1938.76"/>
    <n v="45.8"/>
    <x v="2"/>
    <n v="4"/>
  </r>
  <r>
    <s v="ORD-10698"/>
    <x v="238"/>
    <s v="Sep 2024"/>
    <x v="2"/>
    <n v="2024"/>
    <x v="0"/>
    <x v="8"/>
    <x v="3"/>
    <x v="1"/>
    <s v="Clothing Item 14"/>
    <n v="6"/>
    <n v="81.53"/>
    <n v="0"/>
    <n v="489.18"/>
    <n v="0"/>
    <n v="489.18"/>
    <n v="200.38"/>
    <n v="288.8"/>
    <n v="59"/>
    <x v="1"/>
    <n v="4"/>
  </r>
  <r>
    <s v="ORD-10699"/>
    <x v="239"/>
    <s v="Sep 2024"/>
    <x v="2"/>
    <n v="2024"/>
    <x v="3"/>
    <x v="5"/>
    <x v="0"/>
    <x v="5"/>
    <s v="Sports Item 07"/>
    <n v="11"/>
    <n v="356.05"/>
    <n v="10"/>
    <n v="3916.55"/>
    <n v="391.66"/>
    <n v="3524.89"/>
    <n v="2172.23"/>
    <n v="1352.66"/>
    <n v="38.4"/>
    <x v="2"/>
    <n v="4"/>
  </r>
  <r>
    <s v="ORD-10700"/>
    <x v="240"/>
    <s v="Sep 2024"/>
    <x v="2"/>
    <n v="2024"/>
    <x v="2"/>
    <x v="3"/>
    <x v="0"/>
    <x v="0"/>
    <s v="Beauty Item 23"/>
    <n v="2"/>
    <n v="75.239999999999995"/>
    <n v="15"/>
    <n v="150.47999999999999"/>
    <n v="22.57"/>
    <n v="127.91"/>
    <n v="77.91"/>
    <n v="50"/>
    <n v="39.1"/>
    <x v="0"/>
    <n v="5"/>
  </r>
  <r>
    <s v="ORD-10701"/>
    <x v="241"/>
    <s v="Sep 2024"/>
    <x v="2"/>
    <n v="2024"/>
    <x v="4"/>
    <x v="7"/>
    <x v="3"/>
    <x v="4"/>
    <s v="Electronics Item 21"/>
    <n v="1"/>
    <n v="973.24"/>
    <n v="0"/>
    <n v="973.24"/>
    <n v="0"/>
    <n v="973.24"/>
    <n v="404.22"/>
    <n v="569.02"/>
    <n v="58.5"/>
    <x v="2"/>
    <n v="4"/>
  </r>
  <r>
    <s v="ORD-10702"/>
    <x v="242"/>
    <s v="Sep 2024"/>
    <x v="2"/>
    <n v="2024"/>
    <x v="3"/>
    <x v="1"/>
    <x v="1"/>
    <x v="4"/>
    <s v="Electronics Item 12"/>
    <n v="5"/>
    <n v="880.78"/>
    <n v="10"/>
    <n v="4403.8999999999996"/>
    <n v="440.39"/>
    <n v="3963.51"/>
    <n v="1521.51"/>
    <n v="2442"/>
    <n v="61.6"/>
    <x v="0"/>
    <n v="2"/>
  </r>
  <r>
    <s v="ORD-10703"/>
    <x v="242"/>
    <s v="Sep 2024"/>
    <x v="2"/>
    <n v="2024"/>
    <x v="1"/>
    <x v="2"/>
    <x v="3"/>
    <x v="1"/>
    <s v="Clothing Item 01"/>
    <n v="19"/>
    <n v="155.9"/>
    <n v="5"/>
    <n v="2962.1"/>
    <n v="148.1"/>
    <n v="2814"/>
    <n v="1519.2"/>
    <n v="1294.8"/>
    <n v="46"/>
    <x v="2"/>
    <n v="3"/>
  </r>
  <r>
    <s v="ORD-10704"/>
    <x v="242"/>
    <s v="Sep 2024"/>
    <x v="2"/>
    <n v="2024"/>
    <x v="2"/>
    <x v="3"/>
    <x v="0"/>
    <x v="3"/>
    <s v="Home &amp; Garden Item 26"/>
    <n v="5"/>
    <n v="173.71"/>
    <n v="20"/>
    <n v="868.55"/>
    <n v="173.71"/>
    <n v="694.84"/>
    <n v="310.83999999999997"/>
    <n v="384"/>
    <n v="55.3"/>
    <x v="2"/>
    <n v="2"/>
  </r>
  <r>
    <s v="ORD-10705"/>
    <x v="243"/>
    <s v="Sep 2024"/>
    <x v="2"/>
    <n v="2024"/>
    <x v="3"/>
    <x v="4"/>
    <x v="0"/>
    <x v="1"/>
    <s v="Clothing Item 42"/>
    <n v="4"/>
    <n v="52.58"/>
    <n v="10"/>
    <n v="210.32"/>
    <n v="21.03"/>
    <n v="189.29"/>
    <n v="75.760000000000005"/>
    <n v="113.53"/>
    <n v="60"/>
    <x v="2"/>
    <n v="2"/>
  </r>
  <r>
    <s v="ORD-10706"/>
    <x v="243"/>
    <s v="Sep 2024"/>
    <x v="2"/>
    <n v="2024"/>
    <x v="3"/>
    <x v="9"/>
    <x v="0"/>
    <x v="1"/>
    <s v="Clothing Item 21"/>
    <n v="17"/>
    <n v="72.89"/>
    <n v="5"/>
    <n v="1239.1300000000001"/>
    <n v="61.96"/>
    <n v="1177.17"/>
    <n v="509.51"/>
    <n v="667.66"/>
    <n v="56.7"/>
    <x v="2"/>
    <n v="3"/>
  </r>
  <r>
    <s v="ORD-10707"/>
    <x v="243"/>
    <s v="Sep 2024"/>
    <x v="2"/>
    <n v="2024"/>
    <x v="1"/>
    <x v="6"/>
    <x v="0"/>
    <x v="3"/>
    <s v="Home &amp; Garden Item 01"/>
    <n v="12"/>
    <n v="41.94"/>
    <n v="10"/>
    <n v="503.28"/>
    <n v="50.33"/>
    <n v="452.95"/>
    <n v="174.79"/>
    <n v="278.16000000000003"/>
    <n v="61.4"/>
    <x v="2"/>
    <n v="4"/>
  </r>
  <r>
    <s v="ORD-10708"/>
    <x v="243"/>
    <s v="Sep 2024"/>
    <x v="2"/>
    <n v="2024"/>
    <x v="0"/>
    <x v="5"/>
    <x v="0"/>
    <x v="3"/>
    <s v="Home &amp; Garden Item 25"/>
    <n v="3"/>
    <n v="434.76"/>
    <n v="20"/>
    <n v="1304.28"/>
    <n v="260.86"/>
    <n v="1043.42"/>
    <n v="612.22"/>
    <n v="431.2"/>
    <n v="41.3"/>
    <x v="2"/>
    <n v="1"/>
  </r>
  <r>
    <s v="ORD-10709"/>
    <x v="243"/>
    <s v="Sep 2024"/>
    <x v="2"/>
    <n v="2024"/>
    <x v="0"/>
    <x v="4"/>
    <x v="2"/>
    <x v="3"/>
    <s v="Home &amp; Garden Item 14"/>
    <n v="12"/>
    <n v="375.8"/>
    <n v="0"/>
    <n v="4509.6000000000004"/>
    <n v="0"/>
    <n v="4509.6000000000004"/>
    <n v="1590.44"/>
    <n v="2919.16"/>
    <n v="64.7"/>
    <x v="1"/>
    <n v="5"/>
  </r>
  <r>
    <s v="ORD-10710"/>
    <x v="244"/>
    <s v="Sep 2024"/>
    <x v="2"/>
    <n v="2024"/>
    <x v="3"/>
    <x v="1"/>
    <x v="3"/>
    <x v="4"/>
    <s v="Electronics Item 30"/>
    <n v="13"/>
    <n v="68.650000000000006"/>
    <n v="15"/>
    <n v="892.45"/>
    <n v="133.87"/>
    <n v="758.58"/>
    <n v="275.06"/>
    <n v="483.52"/>
    <n v="63.7"/>
    <x v="2"/>
    <n v="5"/>
  </r>
  <r>
    <s v="ORD-10711"/>
    <x v="244"/>
    <s v="Sep 2024"/>
    <x v="2"/>
    <n v="2024"/>
    <x v="2"/>
    <x v="5"/>
    <x v="1"/>
    <x v="4"/>
    <s v="Electronics Item 15"/>
    <n v="19"/>
    <n v="686.31"/>
    <n v="10"/>
    <n v="13039.89"/>
    <n v="1303.99"/>
    <n v="11735.9"/>
    <n v="6866"/>
    <n v="4869.8999999999996"/>
    <n v="41.5"/>
    <x v="1"/>
    <n v="3"/>
  </r>
  <r>
    <s v="ORD-10712"/>
    <x v="244"/>
    <s v="Sep 2024"/>
    <x v="2"/>
    <n v="2024"/>
    <x v="1"/>
    <x v="9"/>
    <x v="1"/>
    <x v="5"/>
    <s v="Sports Item 05"/>
    <n v="4"/>
    <n v="244.01"/>
    <n v="0"/>
    <n v="976.04"/>
    <n v="0"/>
    <n v="976.04"/>
    <n v="480.78"/>
    <n v="495.26"/>
    <n v="50.7"/>
    <x v="2"/>
    <n v="2"/>
  </r>
  <r>
    <s v="ORD-10713"/>
    <x v="245"/>
    <s v="Sep 2024"/>
    <x v="2"/>
    <n v="2024"/>
    <x v="0"/>
    <x v="0"/>
    <x v="2"/>
    <x v="2"/>
    <s v="Food &amp; Beverage Item 43"/>
    <n v="11"/>
    <n v="59"/>
    <n v="15"/>
    <n v="649"/>
    <n v="97.35"/>
    <n v="551.65"/>
    <n v="291.75"/>
    <n v="259.89999999999998"/>
    <n v="47.1"/>
    <x v="0"/>
    <n v="2"/>
  </r>
  <r>
    <s v="ORD-10714"/>
    <x v="245"/>
    <s v="Sep 2024"/>
    <x v="2"/>
    <n v="2024"/>
    <x v="3"/>
    <x v="0"/>
    <x v="3"/>
    <x v="5"/>
    <s v="Sports Item 18"/>
    <n v="10"/>
    <n v="135.69999999999999"/>
    <n v="20"/>
    <n v="1357"/>
    <n v="271.39999999999998"/>
    <n v="1085.5999999999999"/>
    <n v="500.92"/>
    <n v="584.67999999999995"/>
    <n v="53.9"/>
    <x v="0"/>
    <n v="4"/>
  </r>
  <r>
    <s v="ORD-10715"/>
    <x v="246"/>
    <s v="Sep 2024"/>
    <x v="2"/>
    <n v="2024"/>
    <x v="2"/>
    <x v="2"/>
    <x v="0"/>
    <x v="1"/>
    <s v="Clothing Item 42"/>
    <n v="11"/>
    <n v="51.3"/>
    <n v="0"/>
    <n v="564.29999999999995"/>
    <n v="0"/>
    <n v="564.29999999999995"/>
    <n v="212.65"/>
    <n v="351.65"/>
    <n v="62.3"/>
    <x v="2"/>
    <n v="4"/>
  </r>
  <r>
    <s v="ORD-10716"/>
    <x v="246"/>
    <s v="Sep 2024"/>
    <x v="2"/>
    <n v="2024"/>
    <x v="0"/>
    <x v="3"/>
    <x v="0"/>
    <x v="1"/>
    <s v="Clothing Item 40"/>
    <n v="5"/>
    <n v="57.55"/>
    <n v="0"/>
    <n v="287.75"/>
    <n v="0"/>
    <n v="287.75"/>
    <n v="114.33"/>
    <n v="173.42"/>
    <n v="60.3"/>
    <x v="2"/>
    <n v="4"/>
  </r>
  <r>
    <s v="ORD-10717"/>
    <x v="247"/>
    <s v="Sep 2024"/>
    <x v="2"/>
    <n v="2024"/>
    <x v="4"/>
    <x v="2"/>
    <x v="1"/>
    <x v="5"/>
    <s v="Sports Item 24"/>
    <n v="6"/>
    <n v="238.67"/>
    <n v="5"/>
    <n v="1432.02"/>
    <n v="71.599999999999994"/>
    <n v="1360.42"/>
    <n v="513.45000000000005"/>
    <n v="846.97"/>
    <n v="62.3"/>
    <x v="0"/>
    <n v="4"/>
  </r>
  <r>
    <s v="ORD-10718"/>
    <x v="247"/>
    <s v="Sep 2024"/>
    <x v="2"/>
    <n v="2024"/>
    <x v="3"/>
    <x v="0"/>
    <x v="1"/>
    <x v="0"/>
    <s v="Beauty Item 03"/>
    <n v="14"/>
    <n v="44.4"/>
    <n v="15"/>
    <n v="621.6"/>
    <n v="93.24"/>
    <n v="528.36"/>
    <n v="282.99"/>
    <n v="245.37"/>
    <n v="46.4"/>
    <x v="2"/>
    <n v="5"/>
  </r>
  <r>
    <s v="ORD-10719"/>
    <x v="248"/>
    <s v="Sep 2024"/>
    <x v="2"/>
    <n v="2024"/>
    <x v="1"/>
    <x v="1"/>
    <x v="2"/>
    <x v="2"/>
    <s v="Food &amp; Beverage Item 05"/>
    <n v="16"/>
    <n v="46.3"/>
    <n v="10"/>
    <n v="740.8"/>
    <n v="74.08"/>
    <n v="666.72"/>
    <n v="419.54"/>
    <n v="247.18"/>
    <n v="37.1"/>
    <x v="2"/>
    <n v="3"/>
  </r>
  <r>
    <s v="ORD-10720"/>
    <x v="249"/>
    <s v="Sep 2024"/>
    <x v="2"/>
    <n v="2024"/>
    <x v="2"/>
    <x v="9"/>
    <x v="3"/>
    <x v="1"/>
    <s v="Clothing Item 14"/>
    <n v="11"/>
    <n v="189.54"/>
    <n v="10"/>
    <n v="2084.94"/>
    <n v="208.49"/>
    <n v="1876.45"/>
    <n v="1217.99"/>
    <n v="658.46"/>
    <n v="35.1"/>
    <x v="2"/>
    <n v="3"/>
  </r>
  <r>
    <s v="ORD-10721"/>
    <x v="249"/>
    <s v="Sep 2024"/>
    <x v="2"/>
    <n v="2024"/>
    <x v="3"/>
    <x v="1"/>
    <x v="3"/>
    <x v="0"/>
    <s v="Beauty Item 27"/>
    <n v="6"/>
    <n v="57.26"/>
    <n v="0"/>
    <n v="343.56"/>
    <n v="0"/>
    <n v="343.56"/>
    <n v="184.68"/>
    <n v="158.88"/>
    <n v="46.2"/>
    <x v="2"/>
    <n v="5"/>
  </r>
  <r>
    <s v="ORD-10722"/>
    <x v="250"/>
    <s v="Sep 2024"/>
    <x v="2"/>
    <n v="2024"/>
    <x v="0"/>
    <x v="4"/>
    <x v="0"/>
    <x v="0"/>
    <s v="Beauty Item 20"/>
    <n v="18"/>
    <n v="116.87"/>
    <n v="10"/>
    <n v="2103.66"/>
    <n v="210.37"/>
    <n v="1893.29"/>
    <n v="696.6"/>
    <n v="1196.69"/>
    <n v="63.2"/>
    <x v="1"/>
    <n v="1"/>
  </r>
  <r>
    <s v="ORD-10723"/>
    <x v="250"/>
    <s v="Sep 2024"/>
    <x v="2"/>
    <n v="2024"/>
    <x v="3"/>
    <x v="1"/>
    <x v="3"/>
    <x v="2"/>
    <s v="Food &amp; Beverage Item 50"/>
    <n v="20"/>
    <n v="41.65"/>
    <n v="5"/>
    <n v="833"/>
    <n v="41.65"/>
    <n v="791.35"/>
    <n v="430"/>
    <n v="361.35"/>
    <n v="45.7"/>
    <x v="2"/>
    <n v="5"/>
  </r>
  <r>
    <s v="ORD-10724"/>
    <x v="250"/>
    <s v="Sep 2024"/>
    <x v="2"/>
    <n v="2024"/>
    <x v="3"/>
    <x v="3"/>
    <x v="3"/>
    <x v="3"/>
    <s v="Home &amp; Garden Item 39"/>
    <n v="12"/>
    <n v="367.31"/>
    <n v="5"/>
    <n v="4407.72"/>
    <n v="220.39"/>
    <n v="4187.33"/>
    <n v="2346.5700000000002"/>
    <n v="1840.76"/>
    <n v="44"/>
    <x v="2"/>
    <n v="4"/>
  </r>
  <r>
    <s v="ORD-10725"/>
    <x v="251"/>
    <s v="Sep 2024"/>
    <x v="2"/>
    <n v="2024"/>
    <x v="0"/>
    <x v="5"/>
    <x v="2"/>
    <x v="4"/>
    <s v="Electronics Item 32"/>
    <n v="8"/>
    <n v="900.53"/>
    <n v="10"/>
    <n v="7204.24"/>
    <n v="720.42"/>
    <n v="6483.82"/>
    <n v="3808.85"/>
    <n v="2674.97"/>
    <n v="41.3"/>
    <x v="2"/>
    <n v="4"/>
  </r>
  <r>
    <s v="ORD-10726"/>
    <x v="252"/>
    <s v="Sep 2024"/>
    <x v="2"/>
    <n v="2024"/>
    <x v="4"/>
    <x v="4"/>
    <x v="2"/>
    <x v="5"/>
    <s v="Sports Item 07"/>
    <n v="19"/>
    <n v="197.81"/>
    <n v="15"/>
    <n v="3758.39"/>
    <n v="563.76"/>
    <n v="3194.63"/>
    <n v="1238.71"/>
    <n v="1955.92"/>
    <n v="61.2"/>
    <x v="2"/>
    <n v="2"/>
  </r>
  <r>
    <s v="ORD-10727"/>
    <x v="252"/>
    <s v="Sep 2024"/>
    <x v="2"/>
    <n v="2024"/>
    <x v="2"/>
    <x v="9"/>
    <x v="0"/>
    <x v="2"/>
    <s v="Food &amp; Beverage Item 46"/>
    <n v="6"/>
    <n v="59.96"/>
    <n v="20"/>
    <n v="359.76"/>
    <n v="71.95"/>
    <n v="287.81"/>
    <n v="120.82"/>
    <n v="166.99"/>
    <n v="58"/>
    <x v="1"/>
    <n v="5"/>
  </r>
  <r>
    <s v="ORD-10728"/>
    <x v="252"/>
    <s v="Sep 2024"/>
    <x v="2"/>
    <n v="2024"/>
    <x v="0"/>
    <x v="8"/>
    <x v="2"/>
    <x v="4"/>
    <s v="Electronics Item 35"/>
    <n v="13"/>
    <n v="455"/>
    <n v="0"/>
    <n v="5915"/>
    <n v="0"/>
    <n v="5915"/>
    <n v="3812.23"/>
    <n v="2102.77"/>
    <n v="35.5"/>
    <x v="2"/>
    <n v="3"/>
  </r>
  <r>
    <s v="ORD-10729"/>
    <x v="253"/>
    <s v="Sep 2024"/>
    <x v="2"/>
    <n v="2024"/>
    <x v="3"/>
    <x v="3"/>
    <x v="0"/>
    <x v="5"/>
    <s v="Sports Item 37"/>
    <n v="10"/>
    <n v="77.48"/>
    <n v="0"/>
    <n v="774.8"/>
    <n v="0"/>
    <n v="774.8"/>
    <n v="454.47"/>
    <n v="320.33"/>
    <n v="41.3"/>
    <x v="0"/>
    <n v="3"/>
  </r>
  <r>
    <s v="ORD-10730"/>
    <x v="253"/>
    <s v="Sep 2024"/>
    <x v="2"/>
    <n v="2024"/>
    <x v="3"/>
    <x v="7"/>
    <x v="2"/>
    <x v="4"/>
    <s v="Electronics Item 11"/>
    <n v="10"/>
    <n v="678.53"/>
    <n v="5"/>
    <n v="6785.3"/>
    <n v="339.27"/>
    <n v="6446.03"/>
    <n v="3719.42"/>
    <n v="2726.61"/>
    <n v="42.3"/>
    <x v="2"/>
    <n v="1"/>
  </r>
  <r>
    <s v="ORD-10731"/>
    <x v="253"/>
    <s v="Sep 2024"/>
    <x v="2"/>
    <n v="2024"/>
    <x v="1"/>
    <x v="1"/>
    <x v="2"/>
    <x v="5"/>
    <s v="Sports Item 17"/>
    <n v="5"/>
    <n v="94.02"/>
    <n v="0"/>
    <n v="470.1"/>
    <n v="0"/>
    <n v="470.1"/>
    <n v="278.14"/>
    <n v="191.96"/>
    <n v="40.799999999999997"/>
    <x v="2"/>
    <n v="4"/>
  </r>
  <r>
    <s v="ORD-10732"/>
    <x v="253"/>
    <s v="Sep 2024"/>
    <x v="2"/>
    <n v="2024"/>
    <x v="3"/>
    <x v="9"/>
    <x v="1"/>
    <x v="4"/>
    <s v="Electronics Item 07"/>
    <n v="6"/>
    <n v="1072.77"/>
    <n v="0"/>
    <n v="6436.62"/>
    <n v="0"/>
    <n v="6436.62"/>
    <n v="3099.98"/>
    <n v="3336.64"/>
    <n v="51.8"/>
    <x v="2"/>
    <n v="2"/>
  </r>
  <r>
    <s v="ORD-10733"/>
    <x v="254"/>
    <s v="Sep 2024"/>
    <x v="2"/>
    <n v="2024"/>
    <x v="0"/>
    <x v="4"/>
    <x v="1"/>
    <x v="3"/>
    <s v="Home &amp; Garden Item 39"/>
    <n v="1"/>
    <n v="495.36"/>
    <n v="5"/>
    <n v="495.36"/>
    <n v="24.77"/>
    <n v="470.59"/>
    <n v="191.95"/>
    <n v="278.64"/>
    <n v="59.2"/>
    <x v="1"/>
    <n v="1"/>
  </r>
  <r>
    <s v="ORD-10734"/>
    <x v="254"/>
    <s v="Sep 2024"/>
    <x v="2"/>
    <n v="2024"/>
    <x v="1"/>
    <x v="1"/>
    <x v="2"/>
    <x v="0"/>
    <s v="Beauty Item 21"/>
    <n v="19"/>
    <n v="144.01"/>
    <n v="20"/>
    <n v="2736.19"/>
    <n v="547.24"/>
    <n v="2188.9499999999998"/>
    <n v="1218.75"/>
    <n v="970.2"/>
    <n v="44.3"/>
    <x v="1"/>
    <n v="5"/>
  </r>
  <r>
    <s v="ORD-10735"/>
    <x v="255"/>
    <s v="Sep 2024"/>
    <x v="2"/>
    <n v="2024"/>
    <x v="3"/>
    <x v="0"/>
    <x v="2"/>
    <x v="5"/>
    <s v="Sports Item 41"/>
    <n v="13"/>
    <n v="221.48"/>
    <n v="0"/>
    <n v="2879.24"/>
    <n v="0"/>
    <n v="2879.24"/>
    <n v="1317.11"/>
    <n v="1562.13"/>
    <n v="54.3"/>
    <x v="0"/>
    <n v="3"/>
  </r>
  <r>
    <s v="ORD-10736"/>
    <x v="255"/>
    <s v="Sep 2024"/>
    <x v="2"/>
    <n v="2024"/>
    <x v="0"/>
    <x v="8"/>
    <x v="2"/>
    <x v="0"/>
    <s v="Beauty Item 45"/>
    <n v="19"/>
    <n v="127.47"/>
    <n v="0"/>
    <n v="2421.9299999999998"/>
    <n v="0"/>
    <n v="2421.9299999999998"/>
    <n v="945.57"/>
    <n v="1476.36"/>
    <n v="61"/>
    <x v="2"/>
    <n v="5"/>
  </r>
  <r>
    <s v="ORD-10737"/>
    <x v="255"/>
    <s v="Sep 2024"/>
    <x v="2"/>
    <n v="2024"/>
    <x v="2"/>
    <x v="4"/>
    <x v="1"/>
    <x v="5"/>
    <s v="Sports Item 25"/>
    <n v="2"/>
    <n v="52.87"/>
    <n v="5"/>
    <n v="105.74"/>
    <n v="5.29"/>
    <n v="100.45"/>
    <n v="62.24"/>
    <n v="38.21"/>
    <n v="38"/>
    <x v="2"/>
    <n v="4"/>
  </r>
  <r>
    <s v="ORD-10738"/>
    <x v="256"/>
    <s v="Oct 2024"/>
    <x v="3"/>
    <n v="2024"/>
    <x v="2"/>
    <x v="6"/>
    <x v="0"/>
    <x v="2"/>
    <s v="Food &amp; Beverage Item 44"/>
    <n v="6"/>
    <n v="66.349999999999994"/>
    <n v="10"/>
    <n v="398.1"/>
    <n v="39.81"/>
    <n v="358.29"/>
    <n v="177.57"/>
    <n v="180.72"/>
    <n v="50.4"/>
    <x v="2"/>
    <n v="3"/>
  </r>
  <r>
    <s v="ORD-10739"/>
    <x v="256"/>
    <s v="Oct 2024"/>
    <x v="3"/>
    <n v="2024"/>
    <x v="3"/>
    <x v="8"/>
    <x v="3"/>
    <x v="2"/>
    <s v="Food &amp; Beverage Item 50"/>
    <n v="20"/>
    <n v="8.64"/>
    <n v="15"/>
    <n v="172.8"/>
    <n v="25.92"/>
    <n v="146.88"/>
    <n v="70.69"/>
    <n v="76.19"/>
    <n v="51.9"/>
    <x v="2"/>
    <n v="5"/>
  </r>
  <r>
    <s v="ORD-10740"/>
    <x v="256"/>
    <s v="Oct 2024"/>
    <x v="3"/>
    <n v="2024"/>
    <x v="2"/>
    <x v="4"/>
    <x v="2"/>
    <x v="5"/>
    <s v="Sports Item 45"/>
    <n v="11"/>
    <n v="27.39"/>
    <n v="15"/>
    <n v="301.29000000000002"/>
    <n v="45.19"/>
    <n v="256.10000000000002"/>
    <n v="112.28"/>
    <n v="143.82"/>
    <n v="56.2"/>
    <x v="1"/>
    <n v="5"/>
  </r>
  <r>
    <s v="ORD-10741"/>
    <x v="256"/>
    <s v="Oct 2024"/>
    <x v="3"/>
    <n v="2024"/>
    <x v="3"/>
    <x v="2"/>
    <x v="2"/>
    <x v="3"/>
    <s v="Home &amp; Garden Item 09"/>
    <n v="20"/>
    <n v="86"/>
    <n v="10"/>
    <n v="1720"/>
    <n v="172"/>
    <n v="1548"/>
    <n v="865.5"/>
    <n v="682.5"/>
    <n v="44.1"/>
    <x v="1"/>
    <n v="3"/>
  </r>
  <r>
    <s v="ORD-10742"/>
    <x v="256"/>
    <s v="Oct 2024"/>
    <x v="3"/>
    <n v="2024"/>
    <x v="1"/>
    <x v="3"/>
    <x v="1"/>
    <x v="4"/>
    <s v="Electronics Item 22"/>
    <n v="8"/>
    <n v="775.31"/>
    <n v="0"/>
    <n v="6202.48"/>
    <n v="0"/>
    <n v="6202.48"/>
    <n v="2523.9899999999998"/>
    <n v="3678.49"/>
    <n v="59.3"/>
    <x v="2"/>
    <n v="4"/>
  </r>
  <r>
    <s v="ORD-10743"/>
    <x v="257"/>
    <s v="Oct 2024"/>
    <x v="3"/>
    <n v="2024"/>
    <x v="2"/>
    <x v="0"/>
    <x v="2"/>
    <x v="5"/>
    <s v="Sports Item 12"/>
    <n v="19"/>
    <n v="50.49"/>
    <n v="20"/>
    <n v="959.31"/>
    <n v="191.86"/>
    <n v="767.45"/>
    <n v="311.58"/>
    <n v="455.87"/>
    <n v="59.4"/>
    <x v="0"/>
    <n v="1"/>
  </r>
  <r>
    <s v="ORD-10744"/>
    <x v="257"/>
    <s v="Oct 2024"/>
    <x v="3"/>
    <n v="2024"/>
    <x v="1"/>
    <x v="8"/>
    <x v="0"/>
    <x v="4"/>
    <s v="Electronics Item 41"/>
    <n v="4"/>
    <n v="223.68"/>
    <n v="15"/>
    <n v="894.72"/>
    <n v="134.21"/>
    <n v="760.51"/>
    <n v="345.5"/>
    <n v="415.01"/>
    <n v="54.6"/>
    <x v="1"/>
    <n v="1"/>
  </r>
  <r>
    <s v="ORD-10745"/>
    <x v="257"/>
    <s v="Oct 2024"/>
    <x v="3"/>
    <n v="2024"/>
    <x v="1"/>
    <x v="0"/>
    <x v="3"/>
    <x v="3"/>
    <s v="Home &amp; Garden Item 49"/>
    <n v="16"/>
    <n v="124.99"/>
    <n v="10"/>
    <n v="1999.84"/>
    <n v="199.98"/>
    <n v="1799.86"/>
    <n v="1025.42"/>
    <n v="774.44"/>
    <n v="43"/>
    <x v="2"/>
    <n v="2"/>
  </r>
  <r>
    <s v="ORD-10746"/>
    <x v="257"/>
    <s v="Oct 2024"/>
    <x v="3"/>
    <n v="2024"/>
    <x v="1"/>
    <x v="2"/>
    <x v="2"/>
    <x v="1"/>
    <s v="Clothing Item 45"/>
    <n v="5"/>
    <n v="99.36"/>
    <n v="20"/>
    <n v="496.8"/>
    <n v="99.36"/>
    <n v="397.44"/>
    <n v="171.93"/>
    <n v="225.51"/>
    <n v="56.7"/>
    <x v="2"/>
    <n v="3"/>
  </r>
  <r>
    <s v="ORD-10747"/>
    <x v="257"/>
    <s v="Oct 2024"/>
    <x v="3"/>
    <n v="2024"/>
    <x v="4"/>
    <x v="1"/>
    <x v="0"/>
    <x v="0"/>
    <s v="Beauty Item 21"/>
    <n v="11"/>
    <n v="18.46"/>
    <n v="0"/>
    <n v="203.06"/>
    <n v="0"/>
    <n v="203.06"/>
    <n v="121.72"/>
    <n v="81.34"/>
    <n v="40.1"/>
    <x v="2"/>
    <n v="4"/>
  </r>
  <r>
    <s v="ORD-10748"/>
    <x v="258"/>
    <s v="Oct 2024"/>
    <x v="3"/>
    <n v="2024"/>
    <x v="0"/>
    <x v="4"/>
    <x v="3"/>
    <x v="5"/>
    <s v="Sports Item 43"/>
    <n v="3"/>
    <n v="264.14999999999998"/>
    <n v="15"/>
    <n v="792.45"/>
    <n v="118.87"/>
    <n v="673.58"/>
    <n v="420.54"/>
    <n v="253.04"/>
    <n v="37.6"/>
    <x v="2"/>
    <n v="2"/>
  </r>
  <r>
    <s v="ORD-10749"/>
    <x v="258"/>
    <s v="Oct 2024"/>
    <x v="3"/>
    <n v="2024"/>
    <x v="3"/>
    <x v="9"/>
    <x v="1"/>
    <x v="2"/>
    <s v="Food &amp; Beverage Item 31"/>
    <n v="8"/>
    <n v="75.040000000000006"/>
    <n v="15"/>
    <n v="600.32000000000005"/>
    <n v="90.05"/>
    <n v="510.27"/>
    <n v="263.48"/>
    <n v="246.79"/>
    <n v="48.4"/>
    <x v="2"/>
    <n v="3"/>
  </r>
  <r>
    <s v="ORD-10750"/>
    <x v="258"/>
    <s v="Oct 2024"/>
    <x v="3"/>
    <n v="2024"/>
    <x v="1"/>
    <x v="5"/>
    <x v="3"/>
    <x v="3"/>
    <s v="Home &amp; Garden Item 05"/>
    <n v="12"/>
    <n v="458.12"/>
    <n v="10"/>
    <n v="5497.44"/>
    <n v="549.74"/>
    <n v="4947.7"/>
    <n v="1833.93"/>
    <n v="3113.77"/>
    <n v="62.9"/>
    <x v="2"/>
    <n v="2"/>
  </r>
  <r>
    <s v="ORD-10751"/>
    <x v="258"/>
    <s v="Oct 2024"/>
    <x v="3"/>
    <n v="2024"/>
    <x v="3"/>
    <x v="7"/>
    <x v="0"/>
    <x v="4"/>
    <s v="Electronics Item 22"/>
    <n v="11"/>
    <n v="808.18"/>
    <n v="15"/>
    <n v="8889.98"/>
    <n v="1333.5"/>
    <n v="7556.48"/>
    <n v="2996.2"/>
    <n v="4560.28"/>
    <n v="60.3"/>
    <x v="2"/>
    <n v="1"/>
  </r>
  <r>
    <s v="ORD-10752"/>
    <x v="258"/>
    <s v="Oct 2024"/>
    <x v="3"/>
    <n v="2024"/>
    <x v="1"/>
    <x v="4"/>
    <x v="3"/>
    <x v="5"/>
    <s v="Sports Item 02"/>
    <n v="6"/>
    <n v="30.9"/>
    <n v="0"/>
    <n v="185.4"/>
    <n v="0"/>
    <n v="185.4"/>
    <n v="81.34"/>
    <n v="104.06"/>
    <n v="56.1"/>
    <x v="1"/>
    <n v="2"/>
  </r>
  <r>
    <s v="ORD-10753"/>
    <x v="258"/>
    <s v="Oct 2024"/>
    <x v="3"/>
    <n v="2024"/>
    <x v="0"/>
    <x v="1"/>
    <x v="3"/>
    <x v="4"/>
    <s v="Electronics Item 39"/>
    <n v="3"/>
    <n v="662.04"/>
    <n v="0"/>
    <n v="1986.12"/>
    <n v="0"/>
    <n v="1986.12"/>
    <n v="852.05"/>
    <n v="1134.07"/>
    <n v="57.1"/>
    <x v="2"/>
    <n v="3"/>
  </r>
  <r>
    <s v="ORD-10754"/>
    <x v="259"/>
    <s v="Oct 2024"/>
    <x v="3"/>
    <n v="2024"/>
    <x v="2"/>
    <x v="0"/>
    <x v="1"/>
    <x v="1"/>
    <s v="Clothing Item 38"/>
    <n v="11"/>
    <n v="91.1"/>
    <n v="0"/>
    <n v="1002.1"/>
    <n v="0"/>
    <n v="1002.1"/>
    <n v="461.1"/>
    <n v="541"/>
    <n v="54"/>
    <x v="2"/>
    <n v="3"/>
  </r>
  <r>
    <s v="ORD-10755"/>
    <x v="259"/>
    <s v="Oct 2024"/>
    <x v="3"/>
    <n v="2024"/>
    <x v="3"/>
    <x v="4"/>
    <x v="3"/>
    <x v="5"/>
    <s v="Sports Item 29"/>
    <n v="15"/>
    <n v="31.27"/>
    <n v="10"/>
    <n v="469.05"/>
    <n v="46.91"/>
    <n v="422.14"/>
    <n v="147.84"/>
    <n v="274.3"/>
    <n v="65"/>
    <x v="2"/>
    <n v="2"/>
  </r>
  <r>
    <s v="ORD-10756"/>
    <x v="260"/>
    <s v="Oct 2024"/>
    <x v="3"/>
    <n v="2024"/>
    <x v="4"/>
    <x v="3"/>
    <x v="1"/>
    <x v="0"/>
    <s v="Beauty Item 25"/>
    <n v="1"/>
    <n v="111.11"/>
    <n v="15"/>
    <n v="111.11"/>
    <n v="16.670000000000002"/>
    <n v="94.44"/>
    <n v="51.13"/>
    <n v="43.31"/>
    <n v="45.9"/>
    <x v="2"/>
    <n v="3"/>
  </r>
  <r>
    <s v="ORD-10757"/>
    <x v="261"/>
    <s v="Oct 2024"/>
    <x v="3"/>
    <n v="2024"/>
    <x v="3"/>
    <x v="1"/>
    <x v="2"/>
    <x v="5"/>
    <s v="Sports Item 33"/>
    <n v="9"/>
    <n v="225.9"/>
    <n v="0"/>
    <n v="2033.1"/>
    <n v="0"/>
    <n v="2033.1"/>
    <n v="942.78"/>
    <n v="1090.32"/>
    <n v="53.6"/>
    <x v="2"/>
    <n v="1"/>
  </r>
  <r>
    <s v="ORD-10758"/>
    <x v="261"/>
    <s v="Oct 2024"/>
    <x v="3"/>
    <n v="2024"/>
    <x v="0"/>
    <x v="1"/>
    <x v="3"/>
    <x v="0"/>
    <s v="Beauty Item 41"/>
    <n v="7"/>
    <n v="50.14"/>
    <n v="15"/>
    <n v="350.98"/>
    <n v="52.65"/>
    <n v="298.33"/>
    <n v="121.02"/>
    <n v="177.31"/>
    <n v="59.4"/>
    <x v="2"/>
    <n v="1"/>
  </r>
  <r>
    <s v="ORD-10759"/>
    <x v="261"/>
    <s v="Oct 2024"/>
    <x v="3"/>
    <n v="2024"/>
    <x v="1"/>
    <x v="5"/>
    <x v="3"/>
    <x v="4"/>
    <s v="Electronics Item 48"/>
    <n v="8"/>
    <n v="627.54999999999995"/>
    <n v="0"/>
    <n v="5020.3999999999996"/>
    <n v="0"/>
    <n v="5020.3999999999996"/>
    <n v="1785.33"/>
    <n v="3235.07"/>
    <n v="64.400000000000006"/>
    <x v="2"/>
    <n v="3"/>
  </r>
  <r>
    <s v="ORD-10760"/>
    <x v="261"/>
    <s v="Oct 2024"/>
    <x v="3"/>
    <n v="2024"/>
    <x v="3"/>
    <x v="0"/>
    <x v="1"/>
    <x v="5"/>
    <s v="Sports Item 15"/>
    <n v="3"/>
    <n v="286.7"/>
    <n v="15"/>
    <n v="860.1"/>
    <n v="129.01"/>
    <n v="731.09"/>
    <n v="443.81"/>
    <n v="287.27999999999997"/>
    <n v="39.299999999999997"/>
    <x v="2"/>
    <n v="1"/>
  </r>
  <r>
    <s v="ORD-10761"/>
    <x v="262"/>
    <s v="Oct 2024"/>
    <x v="3"/>
    <n v="2024"/>
    <x v="0"/>
    <x v="0"/>
    <x v="3"/>
    <x v="3"/>
    <s v="Home &amp; Garden Item 33"/>
    <n v="12"/>
    <n v="226.68"/>
    <n v="0"/>
    <n v="2720.16"/>
    <n v="0"/>
    <n v="2720.16"/>
    <n v="1585.32"/>
    <n v="1134.8399999999999"/>
    <n v="41.7"/>
    <x v="2"/>
    <n v="3"/>
  </r>
  <r>
    <s v="ORD-10762"/>
    <x v="262"/>
    <s v="Oct 2024"/>
    <x v="3"/>
    <n v="2024"/>
    <x v="1"/>
    <x v="6"/>
    <x v="0"/>
    <x v="2"/>
    <s v="Food &amp; Beverage Item 38"/>
    <n v="9"/>
    <n v="75.48"/>
    <n v="15"/>
    <n v="679.32"/>
    <n v="101.9"/>
    <n v="577.41999999999996"/>
    <n v="243.46"/>
    <n v="333.96"/>
    <n v="57.8"/>
    <x v="2"/>
    <n v="2"/>
  </r>
  <r>
    <s v="ORD-10763"/>
    <x v="263"/>
    <s v="Oct 2024"/>
    <x v="3"/>
    <n v="2024"/>
    <x v="2"/>
    <x v="1"/>
    <x v="1"/>
    <x v="3"/>
    <s v="Home &amp; Garden Item 46"/>
    <n v="4"/>
    <n v="106.05"/>
    <n v="15"/>
    <n v="424.2"/>
    <n v="63.63"/>
    <n v="360.57"/>
    <n v="204.19"/>
    <n v="156.38"/>
    <n v="43.4"/>
    <x v="1"/>
    <n v="4"/>
  </r>
  <r>
    <s v="ORD-10764"/>
    <x v="263"/>
    <s v="Oct 2024"/>
    <x v="3"/>
    <n v="2024"/>
    <x v="0"/>
    <x v="5"/>
    <x v="1"/>
    <x v="1"/>
    <s v="Clothing Item 01"/>
    <n v="1"/>
    <n v="184.84"/>
    <n v="0"/>
    <n v="184.84"/>
    <n v="0"/>
    <n v="184.84"/>
    <n v="101.2"/>
    <n v="83.64"/>
    <n v="45.2"/>
    <x v="2"/>
    <n v="5"/>
  </r>
  <r>
    <s v="ORD-10765"/>
    <x v="263"/>
    <s v="Oct 2024"/>
    <x v="3"/>
    <n v="2024"/>
    <x v="4"/>
    <x v="1"/>
    <x v="2"/>
    <x v="3"/>
    <s v="Home &amp; Garden Item 15"/>
    <n v="2"/>
    <n v="271.7"/>
    <n v="10"/>
    <n v="543.4"/>
    <n v="54.34"/>
    <n v="489.06"/>
    <n v="250.25"/>
    <n v="238.81"/>
    <n v="48.8"/>
    <x v="0"/>
    <n v="3"/>
  </r>
  <r>
    <s v="ORD-10766"/>
    <x v="264"/>
    <s v="Oct 2024"/>
    <x v="3"/>
    <n v="2024"/>
    <x v="3"/>
    <x v="9"/>
    <x v="3"/>
    <x v="1"/>
    <s v="Clothing Item 02"/>
    <n v="13"/>
    <n v="59.58"/>
    <n v="10"/>
    <n v="774.54"/>
    <n v="77.45"/>
    <n v="697.09"/>
    <n v="325.02"/>
    <n v="372.07"/>
    <n v="53.4"/>
    <x v="2"/>
    <n v="2"/>
  </r>
  <r>
    <s v="ORD-10767"/>
    <x v="264"/>
    <s v="Oct 2024"/>
    <x v="3"/>
    <n v="2024"/>
    <x v="0"/>
    <x v="2"/>
    <x v="0"/>
    <x v="4"/>
    <s v="Electronics Item 40"/>
    <n v="15"/>
    <n v="762.75"/>
    <n v="15"/>
    <n v="11441.25"/>
    <n v="1716.19"/>
    <n v="9725.06"/>
    <n v="4932.75"/>
    <n v="4792.3100000000004"/>
    <n v="49.3"/>
    <x v="1"/>
    <n v="5"/>
  </r>
  <r>
    <s v="ORD-10768"/>
    <x v="264"/>
    <s v="Oct 2024"/>
    <x v="3"/>
    <n v="2024"/>
    <x v="1"/>
    <x v="9"/>
    <x v="2"/>
    <x v="0"/>
    <s v="Beauty Item 49"/>
    <n v="14"/>
    <n v="45.34"/>
    <n v="15"/>
    <n v="634.76"/>
    <n v="95.21"/>
    <n v="539.54999999999995"/>
    <n v="269.38"/>
    <n v="270.17"/>
    <n v="50.1"/>
    <x v="2"/>
    <n v="1"/>
  </r>
  <r>
    <s v="ORD-10769"/>
    <x v="264"/>
    <s v="Oct 2024"/>
    <x v="3"/>
    <n v="2024"/>
    <x v="1"/>
    <x v="2"/>
    <x v="3"/>
    <x v="2"/>
    <s v="Food &amp; Beverage Item 08"/>
    <n v="6"/>
    <n v="31.58"/>
    <n v="0"/>
    <n v="189.48"/>
    <n v="0"/>
    <n v="189.48"/>
    <n v="97.67"/>
    <n v="91.81"/>
    <n v="48.5"/>
    <x v="2"/>
    <n v="4"/>
  </r>
  <r>
    <s v="ORD-10770"/>
    <x v="265"/>
    <s v="Oct 2024"/>
    <x v="3"/>
    <n v="2024"/>
    <x v="4"/>
    <x v="6"/>
    <x v="2"/>
    <x v="4"/>
    <s v="Electronics Item 20"/>
    <n v="14"/>
    <n v="964.18"/>
    <n v="15"/>
    <n v="13498.52"/>
    <n v="2024.78"/>
    <n v="11473.74"/>
    <n v="6125.96"/>
    <n v="5347.78"/>
    <n v="46.6"/>
    <x v="1"/>
    <n v="3"/>
  </r>
  <r>
    <s v="ORD-10771"/>
    <x v="265"/>
    <s v="Oct 2024"/>
    <x v="3"/>
    <n v="2024"/>
    <x v="3"/>
    <x v="0"/>
    <x v="3"/>
    <x v="0"/>
    <s v="Beauty Item 16"/>
    <n v="16"/>
    <n v="21.06"/>
    <n v="0"/>
    <n v="336.96"/>
    <n v="0"/>
    <n v="336.96"/>
    <n v="150.55000000000001"/>
    <n v="186.41"/>
    <n v="55.3"/>
    <x v="2"/>
    <n v="5"/>
  </r>
  <r>
    <s v="ORD-10772"/>
    <x v="265"/>
    <s v="Oct 2024"/>
    <x v="3"/>
    <n v="2024"/>
    <x v="1"/>
    <x v="1"/>
    <x v="0"/>
    <x v="0"/>
    <s v="Beauty Item 48"/>
    <n v="13"/>
    <n v="144.30000000000001"/>
    <n v="20"/>
    <n v="1875.9"/>
    <n v="375.18"/>
    <n v="1500.72"/>
    <n v="813.8"/>
    <n v="686.92"/>
    <n v="45.8"/>
    <x v="2"/>
    <n v="2"/>
  </r>
  <r>
    <s v="ORD-10773"/>
    <x v="265"/>
    <s v="Oct 2024"/>
    <x v="3"/>
    <n v="2024"/>
    <x v="1"/>
    <x v="2"/>
    <x v="2"/>
    <x v="1"/>
    <s v="Clothing Item 28"/>
    <n v="12"/>
    <n v="99.91"/>
    <n v="0"/>
    <n v="1198.92"/>
    <n v="0"/>
    <n v="1198.92"/>
    <n v="459.35"/>
    <n v="739.57"/>
    <n v="61.7"/>
    <x v="2"/>
    <n v="5"/>
  </r>
  <r>
    <s v="ORD-10774"/>
    <x v="265"/>
    <s v="Oct 2024"/>
    <x v="3"/>
    <n v="2024"/>
    <x v="1"/>
    <x v="0"/>
    <x v="1"/>
    <x v="3"/>
    <s v="Home &amp; Garden Item 49"/>
    <n v="18"/>
    <n v="136.74"/>
    <n v="10"/>
    <n v="2461.3200000000002"/>
    <n v="246.13"/>
    <n v="2215.19"/>
    <n v="1123.01"/>
    <n v="1092.18"/>
    <n v="49.3"/>
    <x v="2"/>
    <n v="2"/>
  </r>
  <r>
    <s v="ORD-10775"/>
    <x v="265"/>
    <s v="Oct 2024"/>
    <x v="3"/>
    <n v="2024"/>
    <x v="0"/>
    <x v="4"/>
    <x v="2"/>
    <x v="3"/>
    <s v="Home &amp; Garden Item 16"/>
    <n v="13"/>
    <n v="354.67"/>
    <n v="5"/>
    <n v="4610.71"/>
    <n v="230.54"/>
    <n v="4380.17"/>
    <n v="1620.68"/>
    <n v="2759.49"/>
    <n v="63"/>
    <x v="2"/>
    <n v="1"/>
  </r>
  <r>
    <s v="ORD-10776"/>
    <x v="265"/>
    <s v="Oct 2024"/>
    <x v="3"/>
    <n v="2024"/>
    <x v="0"/>
    <x v="8"/>
    <x v="3"/>
    <x v="2"/>
    <s v="Food &amp; Beverage Item 40"/>
    <n v="4"/>
    <n v="27.5"/>
    <n v="10"/>
    <n v="110"/>
    <n v="11"/>
    <n v="99"/>
    <n v="59.46"/>
    <n v="39.54"/>
    <n v="39.9"/>
    <x v="2"/>
    <n v="5"/>
  </r>
  <r>
    <s v="ORD-10777"/>
    <x v="266"/>
    <s v="Oct 2024"/>
    <x v="3"/>
    <n v="2024"/>
    <x v="3"/>
    <x v="6"/>
    <x v="0"/>
    <x v="2"/>
    <s v="Food &amp; Beverage Item 06"/>
    <n v="16"/>
    <n v="67.099999999999994"/>
    <n v="10"/>
    <n v="1073.5999999999999"/>
    <n v="107.36"/>
    <n v="966.24"/>
    <n v="375.8"/>
    <n v="590.44000000000005"/>
    <n v="61.1"/>
    <x v="0"/>
    <n v="3"/>
  </r>
  <r>
    <s v="ORD-10778"/>
    <x v="266"/>
    <s v="Oct 2024"/>
    <x v="3"/>
    <n v="2024"/>
    <x v="4"/>
    <x v="6"/>
    <x v="2"/>
    <x v="1"/>
    <s v="Clothing Item 04"/>
    <n v="19"/>
    <n v="29.91"/>
    <n v="15"/>
    <n v="568.29"/>
    <n v="85.24"/>
    <n v="483.05"/>
    <n v="295.64999999999998"/>
    <n v="187.4"/>
    <n v="38.799999999999997"/>
    <x v="2"/>
    <n v="5"/>
  </r>
  <r>
    <s v="ORD-10779"/>
    <x v="266"/>
    <s v="Oct 2024"/>
    <x v="3"/>
    <n v="2024"/>
    <x v="3"/>
    <x v="8"/>
    <x v="0"/>
    <x v="1"/>
    <s v="Clothing Item 09"/>
    <n v="8"/>
    <n v="198.46"/>
    <n v="15"/>
    <n v="1587.68"/>
    <n v="238.15"/>
    <n v="1349.53"/>
    <n v="554.15"/>
    <n v="795.38"/>
    <n v="58.9"/>
    <x v="2"/>
    <n v="1"/>
  </r>
  <r>
    <s v="ORD-10780"/>
    <x v="267"/>
    <s v="Oct 2024"/>
    <x v="3"/>
    <n v="2024"/>
    <x v="4"/>
    <x v="0"/>
    <x v="3"/>
    <x v="4"/>
    <s v="Electronics Item 24"/>
    <n v="6"/>
    <n v="797.38"/>
    <n v="5"/>
    <n v="4784.28"/>
    <n v="239.21"/>
    <n v="4545.07"/>
    <n v="2252.59"/>
    <n v="2292.48"/>
    <n v="50.4"/>
    <x v="2"/>
    <n v="5"/>
  </r>
  <r>
    <s v="ORD-10781"/>
    <x v="267"/>
    <s v="Oct 2024"/>
    <x v="3"/>
    <n v="2024"/>
    <x v="2"/>
    <x v="9"/>
    <x v="3"/>
    <x v="1"/>
    <s v="Clothing Item 32"/>
    <n v="15"/>
    <n v="20.86"/>
    <n v="15"/>
    <n v="312.89999999999998"/>
    <n v="46.93"/>
    <n v="265.97000000000003"/>
    <n v="100.97"/>
    <n v="165"/>
    <n v="62"/>
    <x v="2"/>
    <n v="4"/>
  </r>
  <r>
    <s v="ORD-10782"/>
    <x v="267"/>
    <s v="Oct 2024"/>
    <x v="3"/>
    <n v="2024"/>
    <x v="1"/>
    <x v="4"/>
    <x v="3"/>
    <x v="3"/>
    <s v="Home &amp; Garden Item 19"/>
    <n v="3"/>
    <n v="214.53"/>
    <n v="15"/>
    <n v="643.59"/>
    <n v="96.54"/>
    <n v="547.04999999999995"/>
    <n v="285.18"/>
    <n v="261.87"/>
    <n v="47.9"/>
    <x v="0"/>
    <n v="4"/>
  </r>
  <r>
    <s v="ORD-10783"/>
    <x v="268"/>
    <s v="Oct 2024"/>
    <x v="3"/>
    <n v="2024"/>
    <x v="4"/>
    <x v="6"/>
    <x v="1"/>
    <x v="1"/>
    <s v="Clothing Item 13"/>
    <n v="2"/>
    <n v="84.78"/>
    <n v="20"/>
    <n v="169.56"/>
    <n v="33.909999999999997"/>
    <n v="135.65"/>
    <n v="81.510000000000005"/>
    <n v="54.14"/>
    <n v="39.9"/>
    <x v="0"/>
    <n v="3"/>
  </r>
  <r>
    <s v="ORD-10784"/>
    <x v="268"/>
    <s v="Oct 2024"/>
    <x v="3"/>
    <n v="2024"/>
    <x v="1"/>
    <x v="0"/>
    <x v="0"/>
    <x v="1"/>
    <s v="Clothing Item 10"/>
    <n v="10"/>
    <n v="103.06"/>
    <n v="10"/>
    <n v="1030.5999999999999"/>
    <n v="103.06"/>
    <n v="927.54"/>
    <n v="507.71"/>
    <n v="419.83"/>
    <n v="45.3"/>
    <x v="0"/>
    <n v="3"/>
  </r>
  <r>
    <s v="ORD-10785"/>
    <x v="269"/>
    <s v="Oct 2024"/>
    <x v="3"/>
    <n v="2024"/>
    <x v="4"/>
    <x v="4"/>
    <x v="1"/>
    <x v="0"/>
    <s v="Beauty Item 25"/>
    <n v="1"/>
    <n v="99.14"/>
    <n v="0"/>
    <n v="99.14"/>
    <n v="0"/>
    <n v="99.14"/>
    <n v="50.34"/>
    <n v="48.8"/>
    <n v="49.2"/>
    <x v="2"/>
    <n v="2"/>
  </r>
  <r>
    <s v="ORD-10786"/>
    <x v="269"/>
    <s v="Oct 2024"/>
    <x v="3"/>
    <n v="2024"/>
    <x v="2"/>
    <x v="3"/>
    <x v="1"/>
    <x v="1"/>
    <s v="Clothing Item 14"/>
    <n v="11"/>
    <n v="145.03"/>
    <n v="20"/>
    <n v="1595.33"/>
    <n v="319.07"/>
    <n v="1276.26"/>
    <n v="715.21"/>
    <n v="561.04999999999995"/>
    <n v="44"/>
    <x v="2"/>
    <n v="2"/>
  </r>
  <r>
    <s v="ORD-10787"/>
    <x v="269"/>
    <s v="Oct 2024"/>
    <x v="3"/>
    <n v="2024"/>
    <x v="4"/>
    <x v="8"/>
    <x v="0"/>
    <x v="2"/>
    <s v="Food &amp; Beverage Item 42"/>
    <n v="9"/>
    <n v="11.2"/>
    <n v="5"/>
    <n v="100.8"/>
    <n v="5.04"/>
    <n v="95.76"/>
    <n v="40.869999999999997"/>
    <n v="54.89"/>
    <n v="57.3"/>
    <x v="2"/>
    <n v="1"/>
  </r>
  <r>
    <s v="ORD-10788"/>
    <x v="270"/>
    <s v="Oct 2024"/>
    <x v="3"/>
    <n v="2024"/>
    <x v="3"/>
    <x v="5"/>
    <x v="3"/>
    <x v="4"/>
    <s v="Electronics Item 03"/>
    <n v="4"/>
    <n v="1022.13"/>
    <n v="20"/>
    <n v="4088.52"/>
    <n v="817.7"/>
    <n v="3270.82"/>
    <n v="1504.27"/>
    <n v="1766.55"/>
    <n v="54"/>
    <x v="2"/>
    <n v="4"/>
  </r>
  <r>
    <s v="ORD-10789"/>
    <x v="270"/>
    <s v="Oct 2024"/>
    <x v="3"/>
    <n v="2024"/>
    <x v="0"/>
    <x v="4"/>
    <x v="1"/>
    <x v="1"/>
    <s v="Clothing Item 16"/>
    <n v="3"/>
    <n v="134.31"/>
    <n v="0"/>
    <n v="402.93"/>
    <n v="0"/>
    <n v="402.93"/>
    <n v="214.27"/>
    <n v="188.66"/>
    <n v="46.8"/>
    <x v="0"/>
    <n v="4"/>
  </r>
  <r>
    <s v="ORD-10790"/>
    <x v="270"/>
    <s v="Oct 2024"/>
    <x v="3"/>
    <n v="2024"/>
    <x v="1"/>
    <x v="1"/>
    <x v="0"/>
    <x v="2"/>
    <s v="Food &amp; Beverage Item 47"/>
    <n v="11"/>
    <n v="29.85"/>
    <n v="10"/>
    <n v="328.35"/>
    <n v="32.840000000000003"/>
    <n v="295.51"/>
    <n v="109.71"/>
    <n v="185.8"/>
    <n v="62.9"/>
    <x v="1"/>
    <n v="1"/>
  </r>
  <r>
    <s v="ORD-10791"/>
    <x v="270"/>
    <s v="Oct 2024"/>
    <x v="3"/>
    <n v="2024"/>
    <x v="0"/>
    <x v="1"/>
    <x v="2"/>
    <x v="5"/>
    <s v="Sports Item 39"/>
    <n v="6"/>
    <n v="391.5"/>
    <n v="0"/>
    <n v="2349"/>
    <n v="0"/>
    <n v="2349"/>
    <n v="1477.67"/>
    <n v="871.33"/>
    <n v="37.1"/>
    <x v="2"/>
    <n v="3"/>
  </r>
  <r>
    <s v="ORD-10792"/>
    <x v="271"/>
    <s v="Oct 2024"/>
    <x v="3"/>
    <n v="2024"/>
    <x v="4"/>
    <x v="8"/>
    <x v="1"/>
    <x v="5"/>
    <s v="Sports Item 29"/>
    <n v="13"/>
    <n v="390.19"/>
    <n v="0"/>
    <n v="5072.47"/>
    <n v="0"/>
    <n v="5072.47"/>
    <n v="2093.0100000000002"/>
    <n v="2979.46"/>
    <n v="58.7"/>
    <x v="2"/>
    <n v="4"/>
  </r>
  <r>
    <s v="ORD-10793"/>
    <x v="271"/>
    <s v="Oct 2024"/>
    <x v="3"/>
    <n v="2024"/>
    <x v="3"/>
    <x v="4"/>
    <x v="3"/>
    <x v="0"/>
    <s v="Beauty Item 48"/>
    <n v="6"/>
    <n v="135.27000000000001"/>
    <n v="5"/>
    <n v="811.62"/>
    <n v="40.58"/>
    <n v="771.04"/>
    <n v="383.53"/>
    <n v="387.51"/>
    <n v="50.3"/>
    <x v="2"/>
    <n v="1"/>
  </r>
  <r>
    <s v="ORD-10794"/>
    <x v="272"/>
    <s v="Oct 2024"/>
    <x v="3"/>
    <n v="2024"/>
    <x v="4"/>
    <x v="4"/>
    <x v="0"/>
    <x v="0"/>
    <s v="Beauty Item 22"/>
    <n v="3"/>
    <n v="138.68"/>
    <n v="0"/>
    <n v="416.04"/>
    <n v="0"/>
    <n v="416.04"/>
    <n v="256.67"/>
    <n v="159.37"/>
    <n v="38.299999999999997"/>
    <x v="0"/>
    <n v="1"/>
  </r>
  <r>
    <s v="ORD-10795"/>
    <x v="272"/>
    <s v="Oct 2024"/>
    <x v="3"/>
    <n v="2024"/>
    <x v="2"/>
    <x v="2"/>
    <x v="1"/>
    <x v="5"/>
    <s v="Sports Item 09"/>
    <n v="18"/>
    <n v="111.16"/>
    <n v="0"/>
    <n v="2000.88"/>
    <n v="0"/>
    <n v="2000.88"/>
    <n v="748.3"/>
    <n v="1252.58"/>
    <n v="62.6"/>
    <x v="2"/>
    <n v="4"/>
  </r>
  <r>
    <s v="ORD-10796"/>
    <x v="273"/>
    <s v="Oct 2024"/>
    <x v="3"/>
    <n v="2024"/>
    <x v="2"/>
    <x v="5"/>
    <x v="3"/>
    <x v="2"/>
    <s v="Food &amp; Beverage Item 18"/>
    <n v="3"/>
    <n v="72.599999999999994"/>
    <n v="15"/>
    <n v="217.8"/>
    <n v="32.67"/>
    <n v="185.13"/>
    <n v="109.28"/>
    <n v="75.849999999999994"/>
    <n v="41"/>
    <x v="2"/>
    <n v="2"/>
  </r>
  <r>
    <s v="ORD-10797"/>
    <x v="273"/>
    <s v="Oct 2024"/>
    <x v="3"/>
    <n v="2024"/>
    <x v="2"/>
    <x v="7"/>
    <x v="3"/>
    <x v="0"/>
    <s v="Beauty Item 21"/>
    <n v="11"/>
    <n v="106.92"/>
    <n v="0"/>
    <n v="1176.1199999999999"/>
    <n v="0"/>
    <n v="1176.1199999999999"/>
    <n v="433.06"/>
    <n v="743.06"/>
    <n v="63.2"/>
    <x v="0"/>
    <n v="5"/>
  </r>
  <r>
    <s v="ORD-10798"/>
    <x v="273"/>
    <s v="Oct 2024"/>
    <x v="3"/>
    <n v="2024"/>
    <x v="4"/>
    <x v="1"/>
    <x v="0"/>
    <x v="2"/>
    <s v="Food &amp; Beverage Item 42"/>
    <n v="20"/>
    <n v="47.51"/>
    <n v="0"/>
    <n v="950.2"/>
    <n v="0"/>
    <n v="950.2"/>
    <n v="491.64"/>
    <n v="458.56"/>
    <n v="48.3"/>
    <x v="2"/>
    <n v="3"/>
  </r>
  <r>
    <s v="ORD-10799"/>
    <x v="273"/>
    <s v="Oct 2024"/>
    <x v="3"/>
    <n v="2024"/>
    <x v="2"/>
    <x v="7"/>
    <x v="2"/>
    <x v="2"/>
    <s v="Food &amp; Beverage Item 49"/>
    <n v="20"/>
    <n v="25.33"/>
    <n v="0"/>
    <n v="506.6"/>
    <n v="0"/>
    <n v="506.6"/>
    <n v="319.89999999999998"/>
    <n v="186.7"/>
    <n v="36.9"/>
    <x v="2"/>
    <n v="5"/>
  </r>
  <r>
    <s v="ORD-10800"/>
    <x v="274"/>
    <s v="Oct 2024"/>
    <x v="3"/>
    <n v="2024"/>
    <x v="4"/>
    <x v="1"/>
    <x v="3"/>
    <x v="0"/>
    <s v="Beauty Item 03"/>
    <n v="16"/>
    <n v="139.38"/>
    <n v="20"/>
    <n v="2230.08"/>
    <n v="446.02"/>
    <n v="1784.06"/>
    <n v="847.05"/>
    <n v="937.01"/>
    <n v="52.5"/>
    <x v="1"/>
    <n v="4"/>
  </r>
  <r>
    <s v="ORD-10801"/>
    <x v="275"/>
    <s v="Oct 2024"/>
    <x v="3"/>
    <n v="2024"/>
    <x v="4"/>
    <x v="4"/>
    <x v="0"/>
    <x v="3"/>
    <s v="Home &amp; Garden Item 34"/>
    <n v="1"/>
    <n v="348.53"/>
    <n v="20"/>
    <n v="348.53"/>
    <n v="69.709999999999994"/>
    <n v="278.82"/>
    <n v="128.46"/>
    <n v="150.36000000000001"/>
    <n v="53.9"/>
    <x v="2"/>
    <n v="2"/>
  </r>
  <r>
    <s v="ORD-10802"/>
    <x v="276"/>
    <s v="Oct 2024"/>
    <x v="3"/>
    <n v="2024"/>
    <x v="3"/>
    <x v="7"/>
    <x v="1"/>
    <x v="2"/>
    <s v="Food &amp; Beverage Item 27"/>
    <n v="14"/>
    <n v="26.03"/>
    <n v="0"/>
    <n v="364.42"/>
    <n v="0"/>
    <n v="364.42"/>
    <n v="205"/>
    <n v="159.41999999999999"/>
    <n v="43.7"/>
    <x v="2"/>
    <n v="5"/>
  </r>
  <r>
    <s v="ORD-10803"/>
    <x v="276"/>
    <s v="Oct 2024"/>
    <x v="3"/>
    <n v="2024"/>
    <x v="1"/>
    <x v="5"/>
    <x v="2"/>
    <x v="3"/>
    <s v="Home &amp; Garden Item 42"/>
    <n v="6"/>
    <n v="280.64999999999998"/>
    <n v="0"/>
    <n v="1683.9"/>
    <n v="0"/>
    <n v="1683.9"/>
    <n v="1005.44"/>
    <n v="678.46"/>
    <n v="40.299999999999997"/>
    <x v="0"/>
    <n v="1"/>
  </r>
  <r>
    <s v="ORD-10804"/>
    <x v="276"/>
    <s v="Oct 2024"/>
    <x v="3"/>
    <n v="2024"/>
    <x v="0"/>
    <x v="0"/>
    <x v="0"/>
    <x v="1"/>
    <s v="Clothing Item 19"/>
    <n v="20"/>
    <n v="136.75"/>
    <n v="15"/>
    <n v="2735"/>
    <n v="410.25"/>
    <n v="2324.75"/>
    <n v="999.05"/>
    <n v="1325.7"/>
    <n v="57"/>
    <x v="0"/>
    <n v="3"/>
  </r>
  <r>
    <s v="ORD-10805"/>
    <x v="277"/>
    <s v="Oct 2024"/>
    <x v="3"/>
    <n v="2024"/>
    <x v="1"/>
    <x v="6"/>
    <x v="0"/>
    <x v="5"/>
    <s v="Sports Item 49"/>
    <n v="14"/>
    <n v="92.26"/>
    <n v="0"/>
    <n v="1291.6400000000001"/>
    <n v="0"/>
    <n v="1291.6400000000001"/>
    <n v="467.83"/>
    <n v="823.81"/>
    <n v="63.8"/>
    <x v="2"/>
    <n v="1"/>
  </r>
  <r>
    <s v="ORD-10806"/>
    <x v="277"/>
    <s v="Oct 2024"/>
    <x v="3"/>
    <n v="2024"/>
    <x v="0"/>
    <x v="9"/>
    <x v="2"/>
    <x v="4"/>
    <s v="Electronics Item 02"/>
    <n v="6"/>
    <n v="1027.99"/>
    <n v="0"/>
    <n v="6167.94"/>
    <n v="0"/>
    <n v="6167.94"/>
    <n v="2289.02"/>
    <n v="3878.92"/>
    <n v="62.9"/>
    <x v="2"/>
    <n v="5"/>
  </r>
  <r>
    <s v="ORD-10807"/>
    <x v="277"/>
    <s v="Oct 2024"/>
    <x v="3"/>
    <n v="2024"/>
    <x v="0"/>
    <x v="5"/>
    <x v="3"/>
    <x v="5"/>
    <s v="Sports Item 15"/>
    <n v="2"/>
    <n v="30.87"/>
    <n v="20"/>
    <n v="61.74"/>
    <n v="12.35"/>
    <n v="49.39"/>
    <n v="21.79"/>
    <n v="27.6"/>
    <n v="55.9"/>
    <x v="1"/>
    <n v="1"/>
  </r>
  <r>
    <s v="ORD-10808"/>
    <x v="277"/>
    <s v="Oct 2024"/>
    <x v="3"/>
    <n v="2024"/>
    <x v="4"/>
    <x v="8"/>
    <x v="3"/>
    <x v="5"/>
    <s v="Sports Item 47"/>
    <n v="4"/>
    <n v="102.68"/>
    <n v="0"/>
    <n v="410.72"/>
    <n v="0"/>
    <n v="410.72"/>
    <n v="260.14"/>
    <n v="150.58000000000001"/>
    <n v="36.700000000000003"/>
    <x v="2"/>
    <n v="4"/>
  </r>
  <r>
    <s v="ORD-10809"/>
    <x v="278"/>
    <s v="Oct 2024"/>
    <x v="3"/>
    <n v="2024"/>
    <x v="2"/>
    <x v="6"/>
    <x v="1"/>
    <x v="2"/>
    <s v="Food &amp; Beverage Item 22"/>
    <n v="11"/>
    <n v="15.81"/>
    <n v="15"/>
    <n v="173.91"/>
    <n v="26.09"/>
    <n v="147.82"/>
    <n v="94.34"/>
    <n v="53.48"/>
    <n v="36.200000000000003"/>
    <x v="0"/>
    <n v="3"/>
  </r>
  <r>
    <s v="ORD-10810"/>
    <x v="278"/>
    <s v="Oct 2024"/>
    <x v="3"/>
    <n v="2024"/>
    <x v="2"/>
    <x v="6"/>
    <x v="1"/>
    <x v="3"/>
    <s v="Home &amp; Garden Item 22"/>
    <n v="7"/>
    <n v="413.93"/>
    <n v="20"/>
    <n v="2897.51"/>
    <n v="579.5"/>
    <n v="2318.0100000000002"/>
    <n v="878.84"/>
    <n v="1439.17"/>
    <n v="62.1"/>
    <x v="2"/>
    <n v="2"/>
  </r>
  <r>
    <s v="ORD-10811"/>
    <x v="278"/>
    <s v="Oct 2024"/>
    <x v="3"/>
    <n v="2024"/>
    <x v="2"/>
    <x v="1"/>
    <x v="1"/>
    <x v="3"/>
    <s v="Home &amp; Garden Item 16"/>
    <n v="7"/>
    <n v="414.03"/>
    <n v="0"/>
    <n v="2898.21"/>
    <n v="0"/>
    <n v="2898.21"/>
    <n v="1644.88"/>
    <n v="1253.33"/>
    <n v="43.2"/>
    <x v="2"/>
    <n v="4"/>
  </r>
  <r>
    <s v="ORD-10812"/>
    <x v="278"/>
    <s v="Oct 2024"/>
    <x v="3"/>
    <n v="2024"/>
    <x v="1"/>
    <x v="1"/>
    <x v="2"/>
    <x v="0"/>
    <s v="Beauty Item 14"/>
    <n v="14"/>
    <n v="140.04"/>
    <n v="0"/>
    <n v="1960.56"/>
    <n v="0"/>
    <n v="1960.56"/>
    <n v="998.9"/>
    <n v="961.66"/>
    <n v="49.1"/>
    <x v="2"/>
    <n v="1"/>
  </r>
  <r>
    <s v="ORD-10813"/>
    <x v="279"/>
    <s v="Oct 2024"/>
    <x v="3"/>
    <n v="2024"/>
    <x v="2"/>
    <x v="3"/>
    <x v="2"/>
    <x v="4"/>
    <s v="Electronics Item 35"/>
    <n v="18"/>
    <n v="394.17"/>
    <n v="20"/>
    <n v="7095.06"/>
    <n v="1419.01"/>
    <n v="5676.05"/>
    <n v="2309.23"/>
    <n v="3366.82"/>
    <n v="59.3"/>
    <x v="2"/>
    <n v="5"/>
  </r>
  <r>
    <s v="ORD-10814"/>
    <x v="279"/>
    <s v="Oct 2024"/>
    <x v="3"/>
    <n v="2024"/>
    <x v="3"/>
    <x v="4"/>
    <x v="3"/>
    <x v="3"/>
    <s v="Home &amp; Garden Item 04"/>
    <n v="18"/>
    <n v="290.7"/>
    <n v="10"/>
    <n v="5232.6000000000004"/>
    <n v="523.26"/>
    <n v="4709.34"/>
    <n v="2391.67"/>
    <n v="2317.67"/>
    <n v="49.2"/>
    <x v="1"/>
    <n v="5"/>
  </r>
  <r>
    <s v="ORD-10815"/>
    <x v="280"/>
    <s v="Oct 2024"/>
    <x v="3"/>
    <n v="2024"/>
    <x v="4"/>
    <x v="4"/>
    <x v="0"/>
    <x v="0"/>
    <s v="Beauty Item 43"/>
    <n v="9"/>
    <n v="89.34"/>
    <n v="0"/>
    <n v="804.06"/>
    <n v="0"/>
    <n v="804.06"/>
    <n v="341.43"/>
    <n v="462.63"/>
    <n v="57.5"/>
    <x v="0"/>
    <n v="1"/>
  </r>
  <r>
    <s v="ORD-10816"/>
    <x v="280"/>
    <s v="Oct 2024"/>
    <x v="3"/>
    <n v="2024"/>
    <x v="2"/>
    <x v="2"/>
    <x v="3"/>
    <x v="4"/>
    <s v="Electronics Item 16"/>
    <n v="10"/>
    <n v="1026.8599999999999"/>
    <n v="0"/>
    <n v="10268.6"/>
    <n v="0"/>
    <n v="10268.6"/>
    <n v="5520.37"/>
    <n v="4748.2299999999996"/>
    <n v="46.2"/>
    <x v="2"/>
    <n v="3"/>
  </r>
  <r>
    <s v="ORD-10817"/>
    <x v="280"/>
    <s v="Oct 2024"/>
    <x v="3"/>
    <n v="2024"/>
    <x v="2"/>
    <x v="8"/>
    <x v="0"/>
    <x v="3"/>
    <s v="Home &amp; Garden Item 44"/>
    <n v="10"/>
    <n v="344.98"/>
    <n v="20"/>
    <n v="3449.8"/>
    <n v="689.96"/>
    <n v="2759.84"/>
    <n v="1114.06"/>
    <n v="1645.78"/>
    <n v="59.6"/>
    <x v="0"/>
    <n v="1"/>
  </r>
  <r>
    <s v="ORD-10818"/>
    <x v="281"/>
    <s v="Oct 2024"/>
    <x v="3"/>
    <n v="2024"/>
    <x v="2"/>
    <x v="4"/>
    <x v="2"/>
    <x v="5"/>
    <s v="Sports Item 45"/>
    <n v="8"/>
    <n v="227.71"/>
    <n v="5"/>
    <n v="1821.68"/>
    <n v="91.08"/>
    <n v="1730.6"/>
    <n v="994.68"/>
    <n v="735.92"/>
    <n v="42.5"/>
    <x v="2"/>
    <n v="1"/>
  </r>
  <r>
    <s v="ORD-10819"/>
    <x v="281"/>
    <s v="Oct 2024"/>
    <x v="3"/>
    <n v="2024"/>
    <x v="1"/>
    <x v="4"/>
    <x v="2"/>
    <x v="5"/>
    <s v="Sports Item 47"/>
    <n v="4"/>
    <n v="168.94"/>
    <n v="0"/>
    <n v="675.76"/>
    <n v="0"/>
    <n v="675.76"/>
    <n v="320.69"/>
    <n v="355.07"/>
    <n v="52.5"/>
    <x v="2"/>
    <n v="4"/>
  </r>
  <r>
    <s v="ORD-10820"/>
    <x v="281"/>
    <s v="Oct 2024"/>
    <x v="3"/>
    <n v="2024"/>
    <x v="4"/>
    <x v="3"/>
    <x v="3"/>
    <x v="4"/>
    <s v="Electronics Item 15"/>
    <n v="2"/>
    <n v="900.71"/>
    <n v="10"/>
    <n v="1801.42"/>
    <n v="180.14"/>
    <n v="1621.28"/>
    <n v="618.77"/>
    <n v="1002.51"/>
    <n v="61.8"/>
    <x v="1"/>
    <n v="1"/>
  </r>
  <r>
    <s v="ORD-10821"/>
    <x v="282"/>
    <s v="Oct 2024"/>
    <x v="3"/>
    <n v="2024"/>
    <x v="3"/>
    <x v="8"/>
    <x v="2"/>
    <x v="4"/>
    <s v="Electronics Item 39"/>
    <n v="13"/>
    <n v="959.07"/>
    <n v="20"/>
    <n v="12467.91"/>
    <n v="2493.58"/>
    <n v="9974.33"/>
    <n v="5401.97"/>
    <n v="4572.3599999999997"/>
    <n v="45.8"/>
    <x v="2"/>
    <n v="4"/>
  </r>
  <r>
    <s v="ORD-10822"/>
    <x v="282"/>
    <s v="Oct 2024"/>
    <x v="3"/>
    <n v="2024"/>
    <x v="2"/>
    <x v="3"/>
    <x v="3"/>
    <x v="3"/>
    <s v="Home &amp; Garden Item 25"/>
    <n v="19"/>
    <n v="350.87"/>
    <n v="15"/>
    <n v="6666.53"/>
    <n v="999.98"/>
    <n v="5666.55"/>
    <n v="2591.8200000000002"/>
    <n v="3074.73"/>
    <n v="54.3"/>
    <x v="1"/>
    <n v="3"/>
  </r>
  <r>
    <s v="ORD-10823"/>
    <x v="282"/>
    <s v="Oct 2024"/>
    <x v="3"/>
    <n v="2024"/>
    <x v="0"/>
    <x v="9"/>
    <x v="2"/>
    <x v="3"/>
    <s v="Home &amp; Garden Item 34"/>
    <n v="18"/>
    <n v="57.65"/>
    <n v="15"/>
    <n v="1037.7"/>
    <n v="155.66"/>
    <n v="882.04"/>
    <n v="430.1"/>
    <n v="451.94"/>
    <n v="51.2"/>
    <x v="2"/>
    <n v="3"/>
  </r>
  <r>
    <s v="ORD-10824"/>
    <x v="282"/>
    <s v="Oct 2024"/>
    <x v="3"/>
    <n v="2024"/>
    <x v="1"/>
    <x v="3"/>
    <x v="1"/>
    <x v="4"/>
    <s v="Electronics Item 21"/>
    <n v="16"/>
    <n v="907.28"/>
    <n v="10"/>
    <n v="14516.48"/>
    <n v="1451.65"/>
    <n v="13064.83"/>
    <n v="7180.07"/>
    <n v="5884.76"/>
    <n v="45"/>
    <x v="1"/>
    <n v="3"/>
  </r>
  <r>
    <s v="ORD-10825"/>
    <x v="282"/>
    <s v="Oct 2024"/>
    <x v="3"/>
    <n v="2024"/>
    <x v="2"/>
    <x v="3"/>
    <x v="3"/>
    <x v="2"/>
    <s v="Food &amp; Beverage Item 12"/>
    <n v="5"/>
    <n v="30.94"/>
    <n v="20"/>
    <n v="154.69999999999999"/>
    <n v="30.94"/>
    <n v="123.76"/>
    <n v="76.09"/>
    <n v="47.67"/>
    <n v="38.5"/>
    <x v="1"/>
    <n v="3"/>
  </r>
  <r>
    <s v="ORD-10826"/>
    <x v="282"/>
    <s v="Oct 2024"/>
    <x v="3"/>
    <n v="2024"/>
    <x v="2"/>
    <x v="7"/>
    <x v="0"/>
    <x v="4"/>
    <s v="Electronics Item 29"/>
    <n v="2"/>
    <n v="162.34"/>
    <n v="0"/>
    <n v="324.68"/>
    <n v="0"/>
    <n v="324.68"/>
    <n v="129.88999999999999"/>
    <n v="194.79"/>
    <n v="60"/>
    <x v="0"/>
    <n v="4"/>
  </r>
  <r>
    <s v="ORD-10827"/>
    <x v="283"/>
    <s v="Oct 2024"/>
    <x v="3"/>
    <n v="2024"/>
    <x v="1"/>
    <x v="7"/>
    <x v="3"/>
    <x v="0"/>
    <s v="Beauty Item 41"/>
    <n v="12"/>
    <n v="42.5"/>
    <n v="15"/>
    <n v="510"/>
    <n v="76.5"/>
    <n v="433.5"/>
    <n v="175.19"/>
    <n v="258.31"/>
    <n v="59.6"/>
    <x v="0"/>
    <n v="1"/>
  </r>
  <r>
    <s v="ORD-10828"/>
    <x v="284"/>
    <s v="Oct 2024"/>
    <x v="3"/>
    <n v="2024"/>
    <x v="3"/>
    <x v="0"/>
    <x v="1"/>
    <x v="0"/>
    <s v="Beauty Item 01"/>
    <n v="1"/>
    <n v="20.64"/>
    <n v="15"/>
    <n v="20.64"/>
    <n v="3.1"/>
    <n v="17.54"/>
    <n v="8.25"/>
    <n v="9.2899999999999991"/>
    <n v="53"/>
    <x v="2"/>
    <n v="5"/>
  </r>
  <r>
    <s v="ORD-10829"/>
    <x v="284"/>
    <s v="Oct 2024"/>
    <x v="3"/>
    <n v="2024"/>
    <x v="0"/>
    <x v="1"/>
    <x v="1"/>
    <x v="0"/>
    <s v="Beauty Item 05"/>
    <n v="14"/>
    <n v="94.72"/>
    <n v="10"/>
    <n v="1326.08"/>
    <n v="132.61000000000001"/>
    <n v="1193.47"/>
    <n v="538.55999999999995"/>
    <n v="654.91"/>
    <n v="54.9"/>
    <x v="2"/>
    <n v="3"/>
  </r>
  <r>
    <s v="ORD-10830"/>
    <x v="284"/>
    <s v="Oct 2024"/>
    <x v="3"/>
    <n v="2024"/>
    <x v="0"/>
    <x v="0"/>
    <x v="0"/>
    <x v="5"/>
    <s v="Sports Item 32"/>
    <n v="3"/>
    <n v="255.2"/>
    <n v="5"/>
    <n v="765.6"/>
    <n v="38.28"/>
    <n v="727.32"/>
    <n v="289.08"/>
    <n v="438.24"/>
    <n v="60.3"/>
    <x v="0"/>
    <n v="4"/>
  </r>
  <r>
    <s v="ORD-10831"/>
    <x v="285"/>
    <s v="Oct 2024"/>
    <x v="3"/>
    <n v="2024"/>
    <x v="3"/>
    <x v="4"/>
    <x v="2"/>
    <x v="5"/>
    <s v="Sports Item 05"/>
    <n v="10"/>
    <n v="248.35"/>
    <n v="0"/>
    <n v="2483.5"/>
    <n v="0"/>
    <n v="2483.5"/>
    <n v="1613.11"/>
    <n v="870.39"/>
    <n v="35"/>
    <x v="2"/>
    <n v="5"/>
  </r>
  <r>
    <s v="ORD-10832"/>
    <x v="285"/>
    <s v="Oct 2024"/>
    <x v="3"/>
    <n v="2024"/>
    <x v="1"/>
    <x v="9"/>
    <x v="2"/>
    <x v="0"/>
    <s v="Beauty Item 13"/>
    <n v="20"/>
    <n v="145.65"/>
    <n v="10"/>
    <n v="2913"/>
    <n v="291.3"/>
    <n v="2621.7"/>
    <n v="1266.03"/>
    <n v="1355.67"/>
    <n v="51.7"/>
    <x v="2"/>
    <n v="1"/>
  </r>
  <r>
    <s v="ORD-10833"/>
    <x v="285"/>
    <s v="Oct 2024"/>
    <x v="3"/>
    <n v="2024"/>
    <x v="2"/>
    <x v="0"/>
    <x v="3"/>
    <x v="0"/>
    <s v="Beauty Item 04"/>
    <n v="16"/>
    <n v="55.69"/>
    <n v="20"/>
    <n v="891.04"/>
    <n v="178.21"/>
    <n v="712.83"/>
    <n v="324.83"/>
    <n v="388"/>
    <n v="54.4"/>
    <x v="2"/>
    <n v="4"/>
  </r>
  <r>
    <s v="ORD-10834"/>
    <x v="285"/>
    <s v="Oct 2024"/>
    <x v="3"/>
    <n v="2024"/>
    <x v="3"/>
    <x v="4"/>
    <x v="1"/>
    <x v="2"/>
    <s v="Food &amp; Beverage Item 41"/>
    <n v="7"/>
    <n v="52.56"/>
    <n v="20"/>
    <n v="367.92"/>
    <n v="73.58"/>
    <n v="294.33999999999997"/>
    <n v="130.85"/>
    <n v="163.49"/>
    <n v="55.5"/>
    <x v="2"/>
    <n v="3"/>
  </r>
  <r>
    <s v="ORD-10835"/>
    <x v="286"/>
    <s v="Nov 2024"/>
    <x v="3"/>
    <n v="2024"/>
    <x v="1"/>
    <x v="4"/>
    <x v="1"/>
    <x v="4"/>
    <s v="Electronics Item 10"/>
    <n v="4"/>
    <n v="951.08"/>
    <n v="20"/>
    <n v="3804.32"/>
    <n v="760.86"/>
    <n v="3043.46"/>
    <n v="1970.45"/>
    <n v="1073.01"/>
    <n v="35.299999999999997"/>
    <x v="0"/>
    <n v="4"/>
  </r>
  <r>
    <s v="ORD-10836"/>
    <x v="286"/>
    <s v="Nov 2024"/>
    <x v="3"/>
    <n v="2024"/>
    <x v="1"/>
    <x v="7"/>
    <x v="0"/>
    <x v="5"/>
    <s v="Sports Item 14"/>
    <n v="1"/>
    <n v="193.96"/>
    <n v="15"/>
    <n v="193.96"/>
    <n v="29.09"/>
    <n v="164.87"/>
    <n v="73.760000000000005"/>
    <n v="91.11"/>
    <n v="55.3"/>
    <x v="2"/>
    <n v="4"/>
  </r>
  <r>
    <s v="ORD-10837"/>
    <x v="286"/>
    <s v="Nov 2024"/>
    <x v="3"/>
    <n v="2024"/>
    <x v="1"/>
    <x v="7"/>
    <x v="1"/>
    <x v="0"/>
    <s v="Beauty Item 09"/>
    <n v="7"/>
    <n v="41.94"/>
    <n v="0"/>
    <n v="293.58"/>
    <n v="0"/>
    <n v="293.58"/>
    <n v="135.49"/>
    <n v="158.09"/>
    <n v="53.8"/>
    <x v="2"/>
    <n v="1"/>
  </r>
  <r>
    <s v="ORD-10838"/>
    <x v="286"/>
    <s v="Nov 2024"/>
    <x v="3"/>
    <n v="2024"/>
    <x v="1"/>
    <x v="5"/>
    <x v="1"/>
    <x v="2"/>
    <s v="Food &amp; Beverage Item 06"/>
    <n v="6"/>
    <n v="46.48"/>
    <n v="15"/>
    <n v="278.88"/>
    <n v="41.83"/>
    <n v="237.05"/>
    <n v="137.31"/>
    <n v="99.74"/>
    <n v="42.1"/>
    <x v="1"/>
    <n v="3"/>
  </r>
  <r>
    <s v="ORD-10839"/>
    <x v="286"/>
    <s v="Nov 2024"/>
    <x v="3"/>
    <n v="2024"/>
    <x v="0"/>
    <x v="3"/>
    <x v="2"/>
    <x v="1"/>
    <s v="Clothing Item 12"/>
    <n v="10"/>
    <n v="84.45"/>
    <n v="15"/>
    <n v="844.5"/>
    <n v="126.67"/>
    <n v="717.83"/>
    <n v="343.97"/>
    <n v="373.86"/>
    <n v="52.1"/>
    <x v="1"/>
    <n v="5"/>
  </r>
  <r>
    <s v="ORD-10840"/>
    <x v="286"/>
    <s v="Nov 2024"/>
    <x v="3"/>
    <n v="2024"/>
    <x v="1"/>
    <x v="8"/>
    <x v="2"/>
    <x v="3"/>
    <s v="Home &amp; Garden Item 38"/>
    <n v="3"/>
    <n v="109.15"/>
    <n v="0"/>
    <n v="327.45"/>
    <n v="0"/>
    <n v="327.45"/>
    <n v="185.91"/>
    <n v="141.54"/>
    <n v="43.2"/>
    <x v="0"/>
    <n v="1"/>
  </r>
  <r>
    <s v="ORD-10841"/>
    <x v="287"/>
    <s v="Nov 2024"/>
    <x v="3"/>
    <n v="2024"/>
    <x v="3"/>
    <x v="5"/>
    <x v="3"/>
    <x v="0"/>
    <s v="Beauty Item 36"/>
    <n v="16"/>
    <n v="92.02"/>
    <n v="5"/>
    <n v="1472.32"/>
    <n v="73.62"/>
    <n v="1398.7"/>
    <n v="744.84"/>
    <n v="653.86"/>
    <n v="46.7"/>
    <x v="0"/>
    <n v="1"/>
  </r>
  <r>
    <s v="ORD-10842"/>
    <x v="288"/>
    <s v="Nov 2024"/>
    <x v="3"/>
    <n v="2024"/>
    <x v="2"/>
    <x v="4"/>
    <x v="3"/>
    <x v="5"/>
    <s v="Sports Item 14"/>
    <n v="4"/>
    <n v="167.53"/>
    <n v="5"/>
    <n v="670.12"/>
    <n v="33.51"/>
    <n v="636.61"/>
    <n v="330.36"/>
    <n v="306.25"/>
    <n v="48.1"/>
    <x v="2"/>
    <n v="2"/>
  </r>
  <r>
    <s v="ORD-10843"/>
    <x v="289"/>
    <s v="Nov 2024"/>
    <x v="3"/>
    <n v="2024"/>
    <x v="2"/>
    <x v="0"/>
    <x v="2"/>
    <x v="0"/>
    <s v="Beauty Item 16"/>
    <n v="10"/>
    <n v="118.1"/>
    <n v="5"/>
    <n v="1181"/>
    <n v="59.05"/>
    <n v="1121.95"/>
    <n v="464.69"/>
    <n v="657.26"/>
    <n v="58.6"/>
    <x v="2"/>
    <n v="1"/>
  </r>
  <r>
    <s v="ORD-10844"/>
    <x v="289"/>
    <s v="Nov 2024"/>
    <x v="3"/>
    <n v="2024"/>
    <x v="4"/>
    <x v="5"/>
    <x v="0"/>
    <x v="1"/>
    <s v="Clothing Item 33"/>
    <n v="13"/>
    <n v="69.650000000000006"/>
    <n v="20"/>
    <n v="905.45"/>
    <n v="181.09"/>
    <n v="724.36"/>
    <n v="419.92"/>
    <n v="304.44"/>
    <n v="42"/>
    <x v="1"/>
    <n v="1"/>
  </r>
  <r>
    <s v="ORD-10845"/>
    <x v="290"/>
    <s v="Nov 2024"/>
    <x v="3"/>
    <n v="2024"/>
    <x v="3"/>
    <x v="8"/>
    <x v="1"/>
    <x v="4"/>
    <s v="Electronics Item 06"/>
    <n v="16"/>
    <n v="333.42"/>
    <n v="15"/>
    <n v="5334.72"/>
    <n v="800.21"/>
    <n v="4534.51"/>
    <n v="2846.97"/>
    <n v="1687.54"/>
    <n v="37.200000000000003"/>
    <x v="0"/>
    <n v="2"/>
  </r>
  <r>
    <s v="ORD-10846"/>
    <x v="290"/>
    <s v="Nov 2024"/>
    <x v="3"/>
    <n v="2024"/>
    <x v="4"/>
    <x v="0"/>
    <x v="3"/>
    <x v="5"/>
    <s v="Sports Item 28"/>
    <n v="16"/>
    <n v="52.57"/>
    <n v="0"/>
    <n v="841.12"/>
    <n v="0"/>
    <n v="841.12"/>
    <n v="358.51"/>
    <n v="482.61"/>
    <n v="57.4"/>
    <x v="1"/>
    <n v="1"/>
  </r>
  <r>
    <s v="ORD-10847"/>
    <x v="291"/>
    <s v="Nov 2024"/>
    <x v="3"/>
    <n v="2024"/>
    <x v="3"/>
    <x v="4"/>
    <x v="3"/>
    <x v="4"/>
    <s v="Electronics Item 47"/>
    <n v="9"/>
    <n v="358.17"/>
    <n v="10"/>
    <n v="3223.53"/>
    <n v="322.35000000000002"/>
    <n v="2901.18"/>
    <n v="1852.39"/>
    <n v="1048.79"/>
    <n v="36.200000000000003"/>
    <x v="0"/>
    <n v="3"/>
  </r>
  <r>
    <s v="ORD-10848"/>
    <x v="291"/>
    <s v="Nov 2024"/>
    <x v="3"/>
    <n v="2024"/>
    <x v="1"/>
    <x v="1"/>
    <x v="2"/>
    <x v="3"/>
    <s v="Home &amp; Garden Item 30"/>
    <n v="3"/>
    <n v="202.4"/>
    <n v="0"/>
    <n v="607.20000000000005"/>
    <n v="0"/>
    <n v="607.20000000000005"/>
    <n v="294.04000000000002"/>
    <n v="313.16000000000003"/>
    <n v="51.6"/>
    <x v="1"/>
    <n v="4"/>
  </r>
  <r>
    <s v="ORD-10849"/>
    <x v="291"/>
    <s v="Nov 2024"/>
    <x v="3"/>
    <n v="2024"/>
    <x v="4"/>
    <x v="6"/>
    <x v="0"/>
    <x v="2"/>
    <s v="Food &amp; Beverage Item 20"/>
    <n v="18"/>
    <n v="63.79"/>
    <n v="0"/>
    <n v="1148.22"/>
    <n v="0"/>
    <n v="1148.22"/>
    <n v="538.66"/>
    <n v="609.55999999999995"/>
    <n v="53.1"/>
    <x v="1"/>
    <n v="2"/>
  </r>
  <r>
    <s v="ORD-10850"/>
    <x v="291"/>
    <s v="Nov 2024"/>
    <x v="3"/>
    <n v="2024"/>
    <x v="1"/>
    <x v="4"/>
    <x v="0"/>
    <x v="4"/>
    <s v="Electronics Item 11"/>
    <n v="13"/>
    <n v="227.42"/>
    <n v="15"/>
    <n v="2956.46"/>
    <n v="443.47"/>
    <n v="2512.9899999999998"/>
    <n v="1427.11"/>
    <n v="1085.8800000000001"/>
    <n v="43.2"/>
    <x v="0"/>
    <n v="2"/>
  </r>
  <r>
    <s v="ORD-10851"/>
    <x v="291"/>
    <s v="Nov 2024"/>
    <x v="3"/>
    <n v="2024"/>
    <x v="3"/>
    <x v="3"/>
    <x v="2"/>
    <x v="0"/>
    <s v="Beauty Item 47"/>
    <n v="6"/>
    <n v="64.55"/>
    <n v="0"/>
    <n v="387.3"/>
    <n v="0"/>
    <n v="387.3"/>
    <n v="249.76"/>
    <n v="137.54"/>
    <n v="35.5"/>
    <x v="2"/>
    <n v="1"/>
  </r>
  <r>
    <s v="ORD-10852"/>
    <x v="291"/>
    <s v="Nov 2024"/>
    <x v="3"/>
    <n v="2024"/>
    <x v="0"/>
    <x v="3"/>
    <x v="0"/>
    <x v="2"/>
    <s v="Food &amp; Beverage Item 13"/>
    <n v="12"/>
    <n v="32.049999999999997"/>
    <n v="0"/>
    <n v="384.6"/>
    <n v="0"/>
    <n v="384.6"/>
    <n v="203.35"/>
    <n v="181.25"/>
    <n v="47.1"/>
    <x v="2"/>
    <n v="2"/>
  </r>
  <r>
    <s v="ORD-10853"/>
    <x v="292"/>
    <s v="Nov 2024"/>
    <x v="3"/>
    <n v="2024"/>
    <x v="0"/>
    <x v="6"/>
    <x v="1"/>
    <x v="1"/>
    <s v="Clothing Item 16"/>
    <n v="13"/>
    <n v="31.93"/>
    <n v="10"/>
    <n v="415.09"/>
    <n v="41.51"/>
    <n v="373.58"/>
    <n v="188.76"/>
    <n v="184.82"/>
    <n v="49.5"/>
    <x v="2"/>
    <n v="3"/>
  </r>
  <r>
    <s v="ORD-10854"/>
    <x v="292"/>
    <s v="Nov 2024"/>
    <x v="3"/>
    <n v="2024"/>
    <x v="0"/>
    <x v="4"/>
    <x v="0"/>
    <x v="4"/>
    <s v="Electronics Item 28"/>
    <n v="12"/>
    <n v="1134.4000000000001"/>
    <n v="20"/>
    <n v="13612.8"/>
    <n v="2722.56"/>
    <n v="10890.24"/>
    <n v="7057.13"/>
    <n v="3833.11"/>
    <n v="35.200000000000003"/>
    <x v="2"/>
    <n v="5"/>
  </r>
  <r>
    <s v="ORD-10855"/>
    <x v="293"/>
    <s v="Nov 2024"/>
    <x v="3"/>
    <n v="2024"/>
    <x v="0"/>
    <x v="4"/>
    <x v="3"/>
    <x v="1"/>
    <s v="Clothing Item 12"/>
    <n v="6"/>
    <n v="97.28"/>
    <n v="20"/>
    <n v="583.67999999999995"/>
    <n v="116.74"/>
    <n v="466.94"/>
    <n v="205.71"/>
    <n v="261.23"/>
    <n v="55.9"/>
    <x v="2"/>
    <n v="1"/>
  </r>
  <r>
    <s v="ORD-10856"/>
    <x v="293"/>
    <s v="Nov 2024"/>
    <x v="3"/>
    <n v="2024"/>
    <x v="2"/>
    <x v="3"/>
    <x v="1"/>
    <x v="2"/>
    <s v="Food &amp; Beverage Item 39"/>
    <n v="15"/>
    <n v="62.1"/>
    <n v="20"/>
    <n v="931.5"/>
    <n v="186.3"/>
    <n v="745.2"/>
    <n v="327.96"/>
    <n v="417.24"/>
    <n v="56"/>
    <x v="0"/>
    <n v="1"/>
  </r>
  <r>
    <s v="ORD-10857"/>
    <x v="293"/>
    <s v="Nov 2024"/>
    <x v="3"/>
    <n v="2024"/>
    <x v="0"/>
    <x v="5"/>
    <x v="3"/>
    <x v="5"/>
    <s v="Sports Item 16"/>
    <n v="2"/>
    <n v="63.34"/>
    <n v="20"/>
    <n v="126.68"/>
    <n v="25.34"/>
    <n v="101.34"/>
    <n v="42.21"/>
    <n v="59.13"/>
    <n v="58.3"/>
    <x v="2"/>
    <n v="3"/>
  </r>
  <r>
    <s v="ORD-10858"/>
    <x v="294"/>
    <s v="Nov 2024"/>
    <x v="3"/>
    <n v="2024"/>
    <x v="3"/>
    <x v="3"/>
    <x v="0"/>
    <x v="5"/>
    <s v="Sports Item 20"/>
    <n v="9"/>
    <n v="57.74"/>
    <n v="5"/>
    <n v="519.66"/>
    <n v="25.98"/>
    <n v="493.68"/>
    <n v="299.52"/>
    <n v="194.16"/>
    <n v="39.299999999999997"/>
    <x v="0"/>
    <n v="1"/>
  </r>
  <r>
    <s v="ORD-10859"/>
    <x v="294"/>
    <s v="Nov 2024"/>
    <x v="3"/>
    <n v="2024"/>
    <x v="0"/>
    <x v="7"/>
    <x v="3"/>
    <x v="0"/>
    <s v="Beauty Item 19"/>
    <n v="15"/>
    <n v="70.34"/>
    <n v="20"/>
    <n v="1055.0999999999999"/>
    <n v="211.02"/>
    <n v="844.08"/>
    <n v="300.92"/>
    <n v="543.16"/>
    <n v="64.3"/>
    <x v="2"/>
    <n v="1"/>
  </r>
  <r>
    <s v="ORD-10860"/>
    <x v="295"/>
    <s v="Nov 2024"/>
    <x v="3"/>
    <n v="2024"/>
    <x v="2"/>
    <x v="0"/>
    <x v="2"/>
    <x v="0"/>
    <s v="Beauty Item 37"/>
    <n v="15"/>
    <n v="87.98"/>
    <n v="0"/>
    <n v="1319.7"/>
    <n v="0"/>
    <n v="1319.7"/>
    <n v="787.31"/>
    <n v="532.39"/>
    <n v="40.299999999999997"/>
    <x v="0"/>
    <n v="1"/>
  </r>
  <r>
    <s v="ORD-10861"/>
    <x v="295"/>
    <s v="Nov 2024"/>
    <x v="3"/>
    <n v="2024"/>
    <x v="1"/>
    <x v="8"/>
    <x v="3"/>
    <x v="0"/>
    <s v="Beauty Item 29"/>
    <n v="9"/>
    <n v="81.739999999999995"/>
    <n v="15"/>
    <n v="735.66"/>
    <n v="110.35"/>
    <n v="625.30999999999995"/>
    <n v="348.24"/>
    <n v="277.07"/>
    <n v="44.3"/>
    <x v="1"/>
    <n v="3"/>
  </r>
  <r>
    <s v="ORD-10862"/>
    <x v="296"/>
    <s v="Nov 2024"/>
    <x v="3"/>
    <n v="2024"/>
    <x v="4"/>
    <x v="4"/>
    <x v="1"/>
    <x v="1"/>
    <s v="Clothing Item 41"/>
    <n v="8"/>
    <n v="34.11"/>
    <n v="15"/>
    <n v="272.88"/>
    <n v="40.93"/>
    <n v="231.95"/>
    <n v="100.38"/>
    <n v="131.57"/>
    <n v="56.7"/>
    <x v="0"/>
    <n v="1"/>
  </r>
  <r>
    <s v="ORD-10863"/>
    <x v="296"/>
    <s v="Nov 2024"/>
    <x v="3"/>
    <n v="2024"/>
    <x v="1"/>
    <x v="6"/>
    <x v="0"/>
    <x v="3"/>
    <s v="Home &amp; Garden Item 13"/>
    <n v="9"/>
    <n v="63.02"/>
    <n v="15"/>
    <n v="567.17999999999995"/>
    <n v="85.08"/>
    <n v="482.1"/>
    <n v="248.81"/>
    <n v="233.29"/>
    <n v="48.4"/>
    <x v="0"/>
    <n v="3"/>
  </r>
  <r>
    <s v="ORD-10864"/>
    <x v="297"/>
    <s v="Nov 2024"/>
    <x v="3"/>
    <n v="2024"/>
    <x v="1"/>
    <x v="0"/>
    <x v="2"/>
    <x v="3"/>
    <s v="Home &amp; Garden Item 18"/>
    <n v="19"/>
    <n v="286.02999999999997"/>
    <n v="15"/>
    <n v="5434.57"/>
    <n v="815.19"/>
    <n v="4619.38"/>
    <n v="2387.7399999999998"/>
    <n v="2231.64"/>
    <n v="48.3"/>
    <x v="2"/>
    <n v="3"/>
  </r>
  <r>
    <s v="ORD-10865"/>
    <x v="297"/>
    <s v="Nov 2024"/>
    <x v="3"/>
    <n v="2024"/>
    <x v="4"/>
    <x v="6"/>
    <x v="1"/>
    <x v="3"/>
    <s v="Home &amp; Garden Item 31"/>
    <n v="2"/>
    <n v="306.52"/>
    <n v="0"/>
    <n v="613.04"/>
    <n v="0"/>
    <n v="613.04"/>
    <n v="384.85"/>
    <n v="228.19"/>
    <n v="37.200000000000003"/>
    <x v="2"/>
    <n v="5"/>
  </r>
  <r>
    <s v="ORD-10866"/>
    <x v="297"/>
    <s v="Nov 2024"/>
    <x v="3"/>
    <n v="2024"/>
    <x v="0"/>
    <x v="9"/>
    <x v="0"/>
    <x v="5"/>
    <s v="Sports Item 06"/>
    <n v="5"/>
    <n v="319.16000000000003"/>
    <n v="20"/>
    <n v="1595.8"/>
    <n v="319.16000000000003"/>
    <n v="1276.6400000000001"/>
    <n v="506.08"/>
    <n v="770.56"/>
    <n v="60.4"/>
    <x v="2"/>
    <n v="4"/>
  </r>
  <r>
    <s v="ORD-10867"/>
    <x v="297"/>
    <s v="Nov 2024"/>
    <x v="3"/>
    <n v="2024"/>
    <x v="0"/>
    <x v="8"/>
    <x v="0"/>
    <x v="5"/>
    <s v="Sports Item 24"/>
    <n v="4"/>
    <n v="348.89"/>
    <n v="10"/>
    <n v="1395.56"/>
    <n v="139.56"/>
    <n v="1256"/>
    <n v="453.82"/>
    <n v="802.18"/>
    <n v="63.9"/>
    <x v="2"/>
    <n v="3"/>
  </r>
  <r>
    <s v="ORD-10868"/>
    <x v="298"/>
    <s v="Nov 2024"/>
    <x v="3"/>
    <n v="2024"/>
    <x v="3"/>
    <x v="9"/>
    <x v="0"/>
    <x v="3"/>
    <s v="Home &amp; Garden Item 26"/>
    <n v="3"/>
    <n v="25.92"/>
    <n v="10"/>
    <n v="77.760000000000005"/>
    <n v="7.78"/>
    <n v="69.98"/>
    <n v="31.96"/>
    <n v="38.020000000000003"/>
    <n v="54.3"/>
    <x v="2"/>
    <n v="2"/>
  </r>
  <r>
    <s v="ORD-10869"/>
    <x v="298"/>
    <s v="Nov 2024"/>
    <x v="3"/>
    <n v="2024"/>
    <x v="0"/>
    <x v="7"/>
    <x v="2"/>
    <x v="2"/>
    <s v="Food &amp; Beverage Item 25"/>
    <n v="12"/>
    <n v="36.04"/>
    <n v="15"/>
    <n v="432.48"/>
    <n v="64.87"/>
    <n v="367.61"/>
    <n v="143.93"/>
    <n v="223.68"/>
    <n v="60.8"/>
    <x v="0"/>
    <n v="2"/>
  </r>
  <r>
    <s v="ORD-10870"/>
    <x v="298"/>
    <s v="Nov 2024"/>
    <x v="3"/>
    <n v="2024"/>
    <x v="0"/>
    <x v="7"/>
    <x v="0"/>
    <x v="0"/>
    <s v="Beauty Item 11"/>
    <n v="18"/>
    <n v="119.08"/>
    <n v="10"/>
    <n v="2143.44"/>
    <n v="214.34"/>
    <n v="1929.1"/>
    <n v="887.63"/>
    <n v="1041.47"/>
    <n v="54"/>
    <x v="2"/>
    <n v="5"/>
  </r>
  <r>
    <s v="ORD-10871"/>
    <x v="299"/>
    <s v="Nov 2024"/>
    <x v="3"/>
    <n v="2024"/>
    <x v="3"/>
    <x v="6"/>
    <x v="1"/>
    <x v="4"/>
    <s v="Electronics Item 31"/>
    <n v="14"/>
    <n v="883.57"/>
    <n v="0"/>
    <n v="12369.98"/>
    <n v="0"/>
    <n v="12369.98"/>
    <n v="6489.87"/>
    <n v="5880.11"/>
    <n v="47.5"/>
    <x v="2"/>
    <n v="4"/>
  </r>
  <r>
    <s v="ORD-10872"/>
    <x v="300"/>
    <s v="Nov 2024"/>
    <x v="3"/>
    <n v="2024"/>
    <x v="4"/>
    <x v="7"/>
    <x v="0"/>
    <x v="2"/>
    <s v="Food &amp; Beverage Item 29"/>
    <n v="19"/>
    <n v="46.97"/>
    <n v="20"/>
    <n v="892.43"/>
    <n v="178.49"/>
    <n v="713.94"/>
    <n v="299.77999999999997"/>
    <n v="414.16"/>
    <n v="58"/>
    <x v="2"/>
    <n v="1"/>
  </r>
  <r>
    <s v="ORD-10873"/>
    <x v="300"/>
    <s v="Nov 2024"/>
    <x v="3"/>
    <n v="2024"/>
    <x v="3"/>
    <x v="5"/>
    <x v="0"/>
    <x v="2"/>
    <s v="Food &amp; Beverage Item 28"/>
    <n v="8"/>
    <n v="79.45"/>
    <n v="15"/>
    <n v="635.6"/>
    <n v="95.34"/>
    <n v="540.26"/>
    <n v="320.55"/>
    <n v="219.71"/>
    <n v="40.700000000000003"/>
    <x v="2"/>
    <n v="2"/>
  </r>
  <r>
    <s v="ORD-10874"/>
    <x v="300"/>
    <s v="Nov 2024"/>
    <x v="3"/>
    <n v="2024"/>
    <x v="0"/>
    <x v="9"/>
    <x v="1"/>
    <x v="3"/>
    <s v="Home &amp; Garden Item 33"/>
    <n v="18"/>
    <n v="136.52000000000001"/>
    <n v="0"/>
    <n v="2457.36"/>
    <n v="0"/>
    <n v="2457.36"/>
    <n v="927.83"/>
    <n v="1529.53"/>
    <n v="62.2"/>
    <x v="0"/>
    <n v="3"/>
  </r>
  <r>
    <s v="ORD-10875"/>
    <x v="300"/>
    <s v="Nov 2024"/>
    <x v="3"/>
    <n v="2024"/>
    <x v="0"/>
    <x v="9"/>
    <x v="2"/>
    <x v="4"/>
    <s v="Electronics Item 40"/>
    <n v="2"/>
    <n v="649.27"/>
    <n v="0"/>
    <n v="1298.54"/>
    <n v="0"/>
    <n v="1298.54"/>
    <n v="610.24"/>
    <n v="688.3"/>
    <n v="53"/>
    <x v="2"/>
    <n v="2"/>
  </r>
  <r>
    <s v="ORD-10876"/>
    <x v="301"/>
    <s v="Nov 2024"/>
    <x v="3"/>
    <n v="2024"/>
    <x v="0"/>
    <x v="6"/>
    <x v="0"/>
    <x v="3"/>
    <s v="Home &amp; Garden Item 48"/>
    <n v="13"/>
    <n v="348.95"/>
    <n v="5"/>
    <n v="4536.3500000000004"/>
    <n v="226.82"/>
    <n v="4309.53"/>
    <n v="2695.03"/>
    <n v="1614.5"/>
    <n v="37.5"/>
    <x v="2"/>
    <n v="5"/>
  </r>
  <r>
    <s v="ORD-10877"/>
    <x v="301"/>
    <s v="Nov 2024"/>
    <x v="3"/>
    <n v="2024"/>
    <x v="3"/>
    <x v="7"/>
    <x v="3"/>
    <x v="4"/>
    <s v="Electronics Item 28"/>
    <n v="17"/>
    <n v="244.93"/>
    <n v="0"/>
    <n v="4163.8100000000004"/>
    <n v="0"/>
    <n v="4163.8100000000004"/>
    <n v="2374.54"/>
    <n v="1789.27"/>
    <n v="43"/>
    <x v="2"/>
    <n v="4"/>
  </r>
  <r>
    <s v="ORD-10878"/>
    <x v="301"/>
    <s v="Nov 2024"/>
    <x v="3"/>
    <n v="2024"/>
    <x v="4"/>
    <x v="9"/>
    <x v="1"/>
    <x v="0"/>
    <s v="Beauty Item 49"/>
    <n v="14"/>
    <n v="47.65"/>
    <n v="15"/>
    <n v="667.1"/>
    <n v="100.06"/>
    <n v="567.04"/>
    <n v="321.55"/>
    <n v="245.49"/>
    <n v="43.3"/>
    <x v="2"/>
    <n v="4"/>
  </r>
  <r>
    <s v="ORD-10879"/>
    <x v="302"/>
    <s v="Nov 2024"/>
    <x v="3"/>
    <n v="2024"/>
    <x v="2"/>
    <x v="0"/>
    <x v="3"/>
    <x v="2"/>
    <s v="Food &amp; Beverage Item 10"/>
    <n v="18"/>
    <n v="25.13"/>
    <n v="0"/>
    <n v="452.34"/>
    <n v="0"/>
    <n v="452.34"/>
    <n v="265.92"/>
    <n v="186.42"/>
    <n v="41.2"/>
    <x v="2"/>
    <n v="1"/>
  </r>
  <r>
    <s v="ORD-10880"/>
    <x v="302"/>
    <s v="Nov 2024"/>
    <x v="3"/>
    <n v="2024"/>
    <x v="3"/>
    <x v="1"/>
    <x v="2"/>
    <x v="5"/>
    <s v="Sports Item 31"/>
    <n v="16"/>
    <n v="79.73"/>
    <n v="0"/>
    <n v="1275.68"/>
    <n v="0"/>
    <n v="1275.68"/>
    <n v="512.66"/>
    <n v="763.02"/>
    <n v="59.8"/>
    <x v="2"/>
    <n v="5"/>
  </r>
  <r>
    <s v="ORD-10881"/>
    <x v="303"/>
    <s v="Nov 2024"/>
    <x v="3"/>
    <n v="2024"/>
    <x v="4"/>
    <x v="0"/>
    <x v="3"/>
    <x v="3"/>
    <s v="Home &amp; Garden Item 02"/>
    <n v="19"/>
    <n v="100.26"/>
    <n v="0"/>
    <n v="1904.94"/>
    <n v="0"/>
    <n v="1904.94"/>
    <n v="1138.5999999999999"/>
    <n v="766.34"/>
    <n v="40.200000000000003"/>
    <x v="2"/>
    <n v="5"/>
  </r>
  <r>
    <s v="ORD-10882"/>
    <x v="304"/>
    <s v="Nov 2024"/>
    <x v="3"/>
    <n v="2024"/>
    <x v="0"/>
    <x v="9"/>
    <x v="3"/>
    <x v="3"/>
    <s v="Home &amp; Garden Item 49"/>
    <n v="8"/>
    <n v="152.46"/>
    <n v="15"/>
    <n v="1219.68"/>
    <n v="182.95"/>
    <n v="1036.73"/>
    <n v="577.33000000000004"/>
    <n v="459.4"/>
    <n v="44.3"/>
    <x v="2"/>
    <n v="2"/>
  </r>
  <r>
    <s v="ORD-10883"/>
    <x v="304"/>
    <s v="Nov 2024"/>
    <x v="3"/>
    <n v="2024"/>
    <x v="4"/>
    <x v="9"/>
    <x v="1"/>
    <x v="2"/>
    <s v="Food &amp; Beverage Item 25"/>
    <n v="16"/>
    <n v="27.48"/>
    <n v="10"/>
    <n v="439.68"/>
    <n v="43.97"/>
    <n v="395.71"/>
    <n v="206.9"/>
    <n v="188.81"/>
    <n v="47.7"/>
    <x v="2"/>
    <n v="5"/>
  </r>
  <r>
    <s v="ORD-10884"/>
    <x v="304"/>
    <s v="Nov 2024"/>
    <x v="3"/>
    <n v="2024"/>
    <x v="1"/>
    <x v="0"/>
    <x v="2"/>
    <x v="2"/>
    <s v="Food &amp; Beverage Item 28"/>
    <n v="10"/>
    <n v="63.7"/>
    <n v="0"/>
    <n v="637"/>
    <n v="0"/>
    <n v="637"/>
    <n v="396.4"/>
    <n v="240.6"/>
    <n v="37.799999999999997"/>
    <x v="2"/>
    <n v="4"/>
  </r>
  <r>
    <s v="ORD-10885"/>
    <x v="305"/>
    <s v="Nov 2024"/>
    <x v="3"/>
    <n v="2024"/>
    <x v="1"/>
    <x v="9"/>
    <x v="2"/>
    <x v="0"/>
    <s v="Beauty Item 06"/>
    <n v="3"/>
    <n v="60.56"/>
    <n v="5"/>
    <n v="181.68"/>
    <n v="9.08"/>
    <n v="172.6"/>
    <n v="91.23"/>
    <n v="81.37"/>
    <n v="47.1"/>
    <x v="0"/>
    <n v="4"/>
  </r>
  <r>
    <s v="ORD-10886"/>
    <x v="305"/>
    <s v="Nov 2024"/>
    <x v="3"/>
    <n v="2024"/>
    <x v="2"/>
    <x v="7"/>
    <x v="2"/>
    <x v="1"/>
    <s v="Clothing Item 49"/>
    <n v="13"/>
    <n v="189.68"/>
    <n v="0"/>
    <n v="2465.84"/>
    <n v="0"/>
    <n v="2465.84"/>
    <n v="1085.26"/>
    <n v="1380.58"/>
    <n v="56"/>
    <x v="2"/>
    <n v="3"/>
  </r>
  <r>
    <s v="ORD-10887"/>
    <x v="305"/>
    <s v="Nov 2024"/>
    <x v="3"/>
    <n v="2024"/>
    <x v="0"/>
    <x v="2"/>
    <x v="3"/>
    <x v="3"/>
    <s v="Home &amp; Garden Item 20"/>
    <n v="2"/>
    <n v="366.03"/>
    <n v="5"/>
    <n v="732.06"/>
    <n v="36.6"/>
    <n v="695.46"/>
    <n v="395.88"/>
    <n v="299.58"/>
    <n v="43.1"/>
    <x v="2"/>
    <n v="3"/>
  </r>
  <r>
    <s v="ORD-10888"/>
    <x v="306"/>
    <s v="Nov 2024"/>
    <x v="3"/>
    <n v="2024"/>
    <x v="2"/>
    <x v="2"/>
    <x v="3"/>
    <x v="4"/>
    <s v="Electronics Item 39"/>
    <n v="17"/>
    <n v="620.16999999999996"/>
    <n v="0"/>
    <n v="10542.89"/>
    <n v="0"/>
    <n v="10542.89"/>
    <n v="5512.72"/>
    <n v="5030.17"/>
    <n v="47.7"/>
    <x v="2"/>
    <n v="4"/>
  </r>
  <r>
    <s v="ORD-10889"/>
    <x v="306"/>
    <s v="Nov 2024"/>
    <x v="3"/>
    <n v="2024"/>
    <x v="1"/>
    <x v="2"/>
    <x v="3"/>
    <x v="0"/>
    <s v="Beauty Item 35"/>
    <n v="19"/>
    <n v="96.33"/>
    <n v="10"/>
    <n v="1830.27"/>
    <n v="183.03"/>
    <n v="1647.24"/>
    <n v="615.32000000000005"/>
    <n v="1031.92"/>
    <n v="62.6"/>
    <x v="0"/>
    <n v="2"/>
  </r>
  <r>
    <s v="ORD-10890"/>
    <x v="306"/>
    <s v="Nov 2024"/>
    <x v="3"/>
    <n v="2024"/>
    <x v="2"/>
    <x v="8"/>
    <x v="2"/>
    <x v="2"/>
    <s v="Food &amp; Beverage Item 10"/>
    <n v="17"/>
    <n v="39.340000000000003"/>
    <n v="0"/>
    <n v="668.78"/>
    <n v="0"/>
    <n v="668.78"/>
    <n v="245.29"/>
    <n v="423.49"/>
    <n v="63.3"/>
    <x v="2"/>
    <n v="1"/>
  </r>
  <r>
    <s v="ORD-10891"/>
    <x v="307"/>
    <s v="Nov 2024"/>
    <x v="3"/>
    <n v="2024"/>
    <x v="1"/>
    <x v="6"/>
    <x v="3"/>
    <x v="1"/>
    <s v="Clothing Item 36"/>
    <n v="19"/>
    <n v="40.07"/>
    <n v="0"/>
    <n v="761.33"/>
    <n v="0"/>
    <n v="761.33"/>
    <n v="442.54"/>
    <n v="318.79000000000002"/>
    <n v="41.9"/>
    <x v="2"/>
    <n v="3"/>
  </r>
  <r>
    <s v="ORD-10892"/>
    <x v="307"/>
    <s v="Nov 2024"/>
    <x v="3"/>
    <n v="2024"/>
    <x v="1"/>
    <x v="1"/>
    <x v="0"/>
    <x v="3"/>
    <s v="Home &amp; Garden Item 47"/>
    <n v="20"/>
    <n v="23.25"/>
    <n v="0"/>
    <n v="465"/>
    <n v="0"/>
    <n v="465"/>
    <n v="211.29"/>
    <n v="253.71"/>
    <n v="54.6"/>
    <x v="2"/>
    <n v="3"/>
  </r>
  <r>
    <s v="ORD-10893"/>
    <x v="307"/>
    <s v="Nov 2024"/>
    <x v="3"/>
    <n v="2024"/>
    <x v="4"/>
    <x v="1"/>
    <x v="2"/>
    <x v="3"/>
    <s v="Home &amp; Garden Item 12"/>
    <n v="5"/>
    <n v="209.93"/>
    <n v="10"/>
    <n v="1049.6500000000001"/>
    <n v="104.97"/>
    <n v="944.68"/>
    <n v="562.22"/>
    <n v="382.46"/>
    <n v="40.5"/>
    <x v="0"/>
    <n v="1"/>
  </r>
  <r>
    <s v="ORD-10894"/>
    <x v="308"/>
    <s v="Nov 2024"/>
    <x v="3"/>
    <n v="2024"/>
    <x v="0"/>
    <x v="8"/>
    <x v="0"/>
    <x v="2"/>
    <s v="Food &amp; Beverage Item 17"/>
    <n v="4"/>
    <n v="68.12"/>
    <n v="20"/>
    <n v="272.48"/>
    <n v="54.5"/>
    <n v="217.98"/>
    <n v="103.53"/>
    <n v="114.45"/>
    <n v="52.5"/>
    <x v="2"/>
    <n v="3"/>
  </r>
  <r>
    <s v="ORD-10895"/>
    <x v="308"/>
    <s v="Nov 2024"/>
    <x v="3"/>
    <n v="2024"/>
    <x v="1"/>
    <x v="1"/>
    <x v="2"/>
    <x v="2"/>
    <s v="Food &amp; Beverage Item 25"/>
    <n v="15"/>
    <n v="33.49"/>
    <n v="0"/>
    <n v="502.35"/>
    <n v="0"/>
    <n v="502.35"/>
    <n v="306.61"/>
    <n v="195.74"/>
    <n v="39"/>
    <x v="2"/>
    <n v="5"/>
  </r>
  <r>
    <s v="ORD-10896"/>
    <x v="309"/>
    <s v="Nov 2024"/>
    <x v="3"/>
    <n v="2024"/>
    <x v="0"/>
    <x v="9"/>
    <x v="1"/>
    <x v="2"/>
    <s v="Food &amp; Beverage Item 30"/>
    <n v="6"/>
    <n v="69.66"/>
    <n v="0"/>
    <n v="417.96"/>
    <n v="0"/>
    <n v="417.96"/>
    <n v="255.35"/>
    <n v="162.61000000000001"/>
    <n v="38.9"/>
    <x v="1"/>
    <n v="2"/>
  </r>
  <r>
    <s v="ORD-10897"/>
    <x v="309"/>
    <s v="Nov 2024"/>
    <x v="3"/>
    <n v="2024"/>
    <x v="2"/>
    <x v="5"/>
    <x v="3"/>
    <x v="5"/>
    <s v="Sports Item 20"/>
    <n v="6"/>
    <n v="190.08"/>
    <n v="0"/>
    <n v="1140.48"/>
    <n v="0"/>
    <n v="1140.48"/>
    <n v="476.74"/>
    <n v="663.74"/>
    <n v="58.2"/>
    <x v="0"/>
    <n v="2"/>
  </r>
  <r>
    <s v="ORD-10898"/>
    <x v="310"/>
    <s v="Nov 2024"/>
    <x v="3"/>
    <n v="2024"/>
    <x v="2"/>
    <x v="7"/>
    <x v="3"/>
    <x v="1"/>
    <s v="Clothing Item 30"/>
    <n v="7"/>
    <n v="94.66"/>
    <n v="5"/>
    <n v="662.62"/>
    <n v="33.130000000000003"/>
    <n v="629.49"/>
    <n v="343.6"/>
    <n v="285.89"/>
    <n v="45.4"/>
    <x v="2"/>
    <n v="1"/>
  </r>
  <r>
    <s v="ORD-10899"/>
    <x v="310"/>
    <s v="Nov 2024"/>
    <x v="3"/>
    <n v="2024"/>
    <x v="1"/>
    <x v="3"/>
    <x v="2"/>
    <x v="0"/>
    <s v="Beauty Item 19"/>
    <n v="7"/>
    <n v="125.29"/>
    <n v="15"/>
    <n v="877.03"/>
    <n v="131.55000000000001"/>
    <n v="745.48"/>
    <n v="395.62"/>
    <n v="349.86"/>
    <n v="46.9"/>
    <x v="2"/>
    <n v="1"/>
  </r>
  <r>
    <s v="ORD-10900"/>
    <x v="310"/>
    <s v="Nov 2024"/>
    <x v="3"/>
    <n v="2024"/>
    <x v="0"/>
    <x v="9"/>
    <x v="0"/>
    <x v="2"/>
    <s v="Food &amp; Beverage Item 25"/>
    <n v="5"/>
    <n v="53.83"/>
    <n v="0"/>
    <n v="269.14999999999998"/>
    <n v="0"/>
    <n v="269.14999999999998"/>
    <n v="95.13"/>
    <n v="174.02"/>
    <n v="64.7"/>
    <x v="2"/>
    <n v="4"/>
  </r>
  <r>
    <s v="ORD-10901"/>
    <x v="311"/>
    <s v="Nov 2024"/>
    <x v="3"/>
    <n v="2024"/>
    <x v="1"/>
    <x v="7"/>
    <x v="1"/>
    <x v="4"/>
    <s v="Electronics Item 36"/>
    <n v="2"/>
    <n v="733.55"/>
    <n v="0"/>
    <n v="1467.1"/>
    <n v="0"/>
    <n v="1467.1"/>
    <n v="855.65"/>
    <n v="611.45000000000005"/>
    <n v="41.7"/>
    <x v="2"/>
    <n v="1"/>
  </r>
  <r>
    <s v="ORD-10902"/>
    <x v="311"/>
    <s v="Nov 2024"/>
    <x v="3"/>
    <n v="2024"/>
    <x v="1"/>
    <x v="4"/>
    <x v="2"/>
    <x v="3"/>
    <s v="Home &amp; Garden Item 39"/>
    <n v="14"/>
    <n v="164.21"/>
    <n v="0"/>
    <n v="2298.94"/>
    <n v="0"/>
    <n v="2298.94"/>
    <n v="1068.42"/>
    <n v="1230.52"/>
    <n v="53.5"/>
    <x v="2"/>
    <n v="2"/>
  </r>
  <r>
    <s v="ORD-10903"/>
    <x v="312"/>
    <s v="Nov 2024"/>
    <x v="3"/>
    <n v="2024"/>
    <x v="4"/>
    <x v="0"/>
    <x v="3"/>
    <x v="0"/>
    <s v="Beauty Item 31"/>
    <n v="3"/>
    <n v="94.45"/>
    <n v="0"/>
    <n v="283.35000000000002"/>
    <n v="0"/>
    <n v="283.35000000000002"/>
    <n v="125.08"/>
    <n v="158.27000000000001"/>
    <n v="55.9"/>
    <x v="2"/>
    <n v="1"/>
  </r>
  <r>
    <s v="ORD-10904"/>
    <x v="312"/>
    <s v="Nov 2024"/>
    <x v="3"/>
    <n v="2024"/>
    <x v="2"/>
    <x v="6"/>
    <x v="1"/>
    <x v="5"/>
    <s v="Sports Item 05"/>
    <n v="14"/>
    <n v="285.73"/>
    <n v="10"/>
    <n v="4000.22"/>
    <n v="400.02"/>
    <n v="3600.2"/>
    <n v="1304.55"/>
    <n v="2295.65"/>
    <n v="63.8"/>
    <x v="2"/>
    <n v="2"/>
  </r>
  <r>
    <s v="ORD-10905"/>
    <x v="312"/>
    <s v="Nov 2024"/>
    <x v="3"/>
    <n v="2024"/>
    <x v="0"/>
    <x v="3"/>
    <x v="3"/>
    <x v="2"/>
    <s v="Food &amp; Beverage Item 22"/>
    <n v="7"/>
    <n v="40.93"/>
    <n v="0"/>
    <n v="286.51"/>
    <n v="0"/>
    <n v="286.51"/>
    <n v="146.69"/>
    <n v="139.82"/>
    <n v="48.8"/>
    <x v="2"/>
    <n v="4"/>
  </r>
  <r>
    <s v="ORD-10906"/>
    <x v="313"/>
    <s v="Nov 2024"/>
    <x v="3"/>
    <n v="2024"/>
    <x v="2"/>
    <x v="0"/>
    <x v="0"/>
    <x v="3"/>
    <s v="Home &amp; Garden Item 09"/>
    <n v="5"/>
    <n v="105.27"/>
    <n v="20"/>
    <n v="526.35"/>
    <n v="105.27"/>
    <n v="421.08"/>
    <n v="166.27"/>
    <n v="254.81"/>
    <n v="60.5"/>
    <x v="2"/>
    <n v="4"/>
  </r>
  <r>
    <s v="ORD-10907"/>
    <x v="313"/>
    <s v="Nov 2024"/>
    <x v="3"/>
    <n v="2024"/>
    <x v="4"/>
    <x v="8"/>
    <x v="0"/>
    <x v="1"/>
    <s v="Clothing Item 46"/>
    <n v="20"/>
    <n v="88.67"/>
    <n v="15"/>
    <n v="1773.4"/>
    <n v="266.01"/>
    <n v="1507.39"/>
    <n v="754.78"/>
    <n v="752.61"/>
    <n v="49.9"/>
    <x v="2"/>
    <n v="2"/>
  </r>
  <r>
    <s v="ORD-10908"/>
    <x v="313"/>
    <s v="Nov 2024"/>
    <x v="3"/>
    <n v="2024"/>
    <x v="3"/>
    <x v="7"/>
    <x v="1"/>
    <x v="2"/>
    <s v="Food &amp; Beverage Item 31"/>
    <n v="9"/>
    <n v="28.94"/>
    <n v="10"/>
    <n v="260.45999999999998"/>
    <n v="26.05"/>
    <n v="234.41"/>
    <n v="97.57"/>
    <n v="136.84"/>
    <n v="58.4"/>
    <x v="0"/>
    <n v="4"/>
  </r>
  <r>
    <s v="ORD-10909"/>
    <x v="314"/>
    <s v="Nov 2024"/>
    <x v="3"/>
    <n v="2024"/>
    <x v="2"/>
    <x v="4"/>
    <x v="3"/>
    <x v="2"/>
    <s v="Food &amp; Beverage Item 13"/>
    <n v="11"/>
    <n v="60.12"/>
    <n v="20"/>
    <n v="661.32"/>
    <n v="132.26"/>
    <n v="529.05999999999995"/>
    <n v="193.19"/>
    <n v="335.87"/>
    <n v="63.5"/>
    <x v="0"/>
    <n v="1"/>
  </r>
  <r>
    <s v="ORD-10910"/>
    <x v="314"/>
    <s v="Nov 2024"/>
    <x v="3"/>
    <n v="2024"/>
    <x v="4"/>
    <x v="6"/>
    <x v="0"/>
    <x v="2"/>
    <s v="Food &amp; Beverage Item 10"/>
    <n v="3"/>
    <n v="52.47"/>
    <n v="15"/>
    <n v="157.41"/>
    <n v="23.61"/>
    <n v="133.80000000000001"/>
    <n v="76.2"/>
    <n v="57.6"/>
    <n v="43"/>
    <x v="2"/>
    <n v="3"/>
  </r>
  <r>
    <s v="ORD-10911"/>
    <x v="315"/>
    <s v="Dec 2024"/>
    <x v="3"/>
    <n v="2024"/>
    <x v="2"/>
    <x v="7"/>
    <x v="1"/>
    <x v="2"/>
    <s v="Food &amp; Beverage Item 13"/>
    <n v="3"/>
    <n v="77.58"/>
    <n v="0"/>
    <n v="232.74"/>
    <n v="0"/>
    <n v="232.74"/>
    <n v="108.89"/>
    <n v="123.85"/>
    <n v="53.2"/>
    <x v="1"/>
    <n v="2"/>
  </r>
  <r>
    <s v="ORD-10912"/>
    <x v="315"/>
    <s v="Dec 2024"/>
    <x v="3"/>
    <n v="2024"/>
    <x v="0"/>
    <x v="9"/>
    <x v="1"/>
    <x v="0"/>
    <s v="Beauty Item 01"/>
    <n v="13"/>
    <n v="119.48"/>
    <n v="5"/>
    <n v="1553.24"/>
    <n v="77.66"/>
    <n v="1475.58"/>
    <n v="713.72"/>
    <n v="761.86"/>
    <n v="51.6"/>
    <x v="2"/>
    <n v="5"/>
  </r>
  <r>
    <s v="ORD-10913"/>
    <x v="315"/>
    <s v="Dec 2024"/>
    <x v="3"/>
    <n v="2024"/>
    <x v="4"/>
    <x v="0"/>
    <x v="2"/>
    <x v="4"/>
    <s v="Electronics Item 01"/>
    <n v="18"/>
    <n v="424.77"/>
    <n v="20"/>
    <n v="7645.86"/>
    <n v="1529.17"/>
    <n v="6116.69"/>
    <n v="3232.91"/>
    <n v="2883.78"/>
    <n v="47.1"/>
    <x v="0"/>
    <n v="5"/>
  </r>
  <r>
    <s v="ORD-10914"/>
    <x v="316"/>
    <s v="Dec 2024"/>
    <x v="3"/>
    <n v="2024"/>
    <x v="3"/>
    <x v="6"/>
    <x v="0"/>
    <x v="2"/>
    <s v="Food &amp; Beverage Item 33"/>
    <n v="13"/>
    <n v="26.02"/>
    <n v="10"/>
    <n v="338.26"/>
    <n v="33.83"/>
    <n v="304.43"/>
    <n v="152.65"/>
    <n v="151.78"/>
    <n v="49.9"/>
    <x v="0"/>
    <n v="5"/>
  </r>
  <r>
    <s v="ORD-10915"/>
    <x v="317"/>
    <s v="Dec 2024"/>
    <x v="3"/>
    <n v="2024"/>
    <x v="2"/>
    <x v="0"/>
    <x v="3"/>
    <x v="2"/>
    <s v="Food &amp; Beverage Item 47"/>
    <n v="18"/>
    <n v="63.94"/>
    <n v="10"/>
    <n v="1150.92"/>
    <n v="115.09"/>
    <n v="1035.83"/>
    <n v="431.55"/>
    <n v="604.28"/>
    <n v="58.3"/>
    <x v="2"/>
    <n v="3"/>
  </r>
  <r>
    <s v="ORD-10916"/>
    <x v="317"/>
    <s v="Dec 2024"/>
    <x v="3"/>
    <n v="2024"/>
    <x v="4"/>
    <x v="9"/>
    <x v="0"/>
    <x v="5"/>
    <s v="Sports Item 47"/>
    <n v="11"/>
    <n v="161.88"/>
    <n v="0"/>
    <n v="1780.68"/>
    <n v="0"/>
    <n v="1780.68"/>
    <n v="778.04"/>
    <n v="1002.64"/>
    <n v="56.3"/>
    <x v="1"/>
    <n v="3"/>
  </r>
  <r>
    <s v="ORD-10917"/>
    <x v="317"/>
    <s v="Dec 2024"/>
    <x v="3"/>
    <n v="2024"/>
    <x v="3"/>
    <x v="6"/>
    <x v="2"/>
    <x v="0"/>
    <s v="Beauty Item 24"/>
    <n v="9"/>
    <n v="140.49"/>
    <n v="0"/>
    <n v="1264.4100000000001"/>
    <n v="0"/>
    <n v="1264.4100000000001"/>
    <n v="592.12"/>
    <n v="672.29"/>
    <n v="53.2"/>
    <x v="2"/>
    <n v="4"/>
  </r>
  <r>
    <s v="ORD-10918"/>
    <x v="317"/>
    <s v="Dec 2024"/>
    <x v="3"/>
    <n v="2024"/>
    <x v="0"/>
    <x v="1"/>
    <x v="1"/>
    <x v="3"/>
    <s v="Home &amp; Garden Item 32"/>
    <n v="17"/>
    <n v="115.9"/>
    <n v="20"/>
    <n v="1970.3"/>
    <n v="394.06"/>
    <n v="1576.24"/>
    <n v="614.19000000000005"/>
    <n v="962.05"/>
    <n v="61"/>
    <x v="2"/>
    <n v="2"/>
  </r>
  <r>
    <s v="ORD-10919"/>
    <x v="318"/>
    <s v="Dec 2024"/>
    <x v="3"/>
    <n v="2024"/>
    <x v="2"/>
    <x v="4"/>
    <x v="3"/>
    <x v="4"/>
    <s v="Electronics Item 26"/>
    <n v="15"/>
    <n v="1196.8499999999999"/>
    <n v="15"/>
    <n v="17952.75"/>
    <n v="2692.91"/>
    <n v="15259.84"/>
    <n v="5718.83"/>
    <n v="9541.01"/>
    <n v="62.5"/>
    <x v="2"/>
    <n v="5"/>
  </r>
  <r>
    <s v="ORD-10920"/>
    <x v="318"/>
    <s v="Dec 2024"/>
    <x v="3"/>
    <n v="2024"/>
    <x v="1"/>
    <x v="1"/>
    <x v="1"/>
    <x v="3"/>
    <s v="Home &amp; Garden Item 27"/>
    <n v="1"/>
    <n v="106.37"/>
    <n v="0"/>
    <n v="106.37"/>
    <n v="0"/>
    <n v="106.37"/>
    <n v="55.46"/>
    <n v="50.91"/>
    <n v="47.9"/>
    <x v="2"/>
    <n v="1"/>
  </r>
  <r>
    <s v="ORD-10921"/>
    <x v="318"/>
    <s v="Dec 2024"/>
    <x v="3"/>
    <n v="2024"/>
    <x v="0"/>
    <x v="2"/>
    <x v="2"/>
    <x v="3"/>
    <s v="Home &amp; Garden Item 26"/>
    <n v="20"/>
    <n v="388.46"/>
    <n v="10"/>
    <n v="7769.2"/>
    <n v="776.92"/>
    <n v="6992.28"/>
    <n v="2550.7399999999998"/>
    <n v="4441.54"/>
    <n v="63.5"/>
    <x v="0"/>
    <n v="2"/>
  </r>
  <r>
    <s v="ORD-10922"/>
    <x v="318"/>
    <s v="Dec 2024"/>
    <x v="3"/>
    <n v="2024"/>
    <x v="0"/>
    <x v="9"/>
    <x v="3"/>
    <x v="1"/>
    <s v="Clothing Item 48"/>
    <n v="19"/>
    <n v="19.98"/>
    <n v="0"/>
    <n v="379.62"/>
    <n v="0"/>
    <n v="379.62"/>
    <n v="178.33"/>
    <n v="201.29"/>
    <n v="53"/>
    <x v="1"/>
    <n v="2"/>
  </r>
  <r>
    <s v="ORD-10923"/>
    <x v="318"/>
    <s v="Dec 2024"/>
    <x v="3"/>
    <n v="2024"/>
    <x v="0"/>
    <x v="4"/>
    <x v="0"/>
    <x v="1"/>
    <s v="Clothing Item 24"/>
    <n v="17"/>
    <n v="149.53"/>
    <n v="0"/>
    <n v="2542.0100000000002"/>
    <n v="0"/>
    <n v="2542.0100000000002"/>
    <n v="954.58"/>
    <n v="1587.43"/>
    <n v="62.4"/>
    <x v="2"/>
    <n v="3"/>
  </r>
  <r>
    <s v="ORD-10924"/>
    <x v="319"/>
    <s v="Dec 2024"/>
    <x v="3"/>
    <n v="2024"/>
    <x v="0"/>
    <x v="3"/>
    <x v="2"/>
    <x v="3"/>
    <s v="Home &amp; Garden Item 25"/>
    <n v="14"/>
    <n v="472.63"/>
    <n v="10"/>
    <n v="6616.82"/>
    <n v="661.68"/>
    <n v="5955.14"/>
    <n v="2980.83"/>
    <n v="2974.31"/>
    <n v="49.9"/>
    <x v="1"/>
    <n v="4"/>
  </r>
  <r>
    <s v="ORD-10925"/>
    <x v="319"/>
    <s v="Dec 2024"/>
    <x v="3"/>
    <n v="2024"/>
    <x v="3"/>
    <x v="9"/>
    <x v="1"/>
    <x v="5"/>
    <s v="Sports Item 32"/>
    <n v="4"/>
    <n v="103.62"/>
    <n v="0"/>
    <n v="414.48"/>
    <n v="0"/>
    <n v="414.48"/>
    <n v="241.29"/>
    <n v="173.19"/>
    <n v="41.8"/>
    <x v="2"/>
    <n v="4"/>
  </r>
  <r>
    <s v="ORD-10926"/>
    <x v="319"/>
    <s v="Dec 2024"/>
    <x v="3"/>
    <n v="2024"/>
    <x v="1"/>
    <x v="5"/>
    <x v="1"/>
    <x v="1"/>
    <s v="Clothing Item 20"/>
    <n v="14"/>
    <n v="162.57"/>
    <n v="20"/>
    <n v="2275.98"/>
    <n v="455.2"/>
    <n v="1820.78"/>
    <n v="708.49"/>
    <n v="1112.29"/>
    <n v="61.1"/>
    <x v="1"/>
    <n v="5"/>
  </r>
  <r>
    <s v="ORD-10927"/>
    <x v="319"/>
    <s v="Dec 2024"/>
    <x v="3"/>
    <n v="2024"/>
    <x v="2"/>
    <x v="6"/>
    <x v="1"/>
    <x v="1"/>
    <s v="Clothing Item 42"/>
    <n v="5"/>
    <n v="168.79"/>
    <n v="10"/>
    <n v="843.95"/>
    <n v="84.4"/>
    <n v="759.55"/>
    <n v="296.57"/>
    <n v="462.98"/>
    <n v="61"/>
    <x v="2"/>
    <n v="5"/>
  </r>
  <r>
    <s v="ORD-10928"/>
    <x v="319"/>
    <s v="Dec 2024"/>
    <x v="3"/>
    <n v="2024"/>
    <x v="0"/>
    <x v="8"/>
    <x v="3"/>
    <x v="1"/>
    <s v="Clothing Item 38"/>
    <n v="5"/>
    <n v="27.79"/>
    <n v="0"/>
    <n v="138.94999999999999"/>
    <n v="0"/>
    <n v="138.94999999999999"/>
    <n v="71.95"/>
    <n v="67"/>
    <n v="48.2"/>
    <x v="2"/>
    <n v="2"/>
  </r>
  <r>
    <s v="ORD-10929"/>
    <x v="320"/>
    <s v="Dec 2024"/>
    <x v="3"/>
    <n v="2024"/>
    <x v="2"/>
    <x v="9"/>
    <x v="1"/>
    <x v="1"/>
    <s v="Clothing Item 05"/>
    <n v="19"/>
    <n v="171.84"/>
    <n v="5"/>
    <n v="3264.96"/>
    <n v="163.25"/>
    <n v="3101.71"/>
    <n v="1539.56"/>
    <n v="1562.15"/>
    <n v="50.4"/>
    <x v="1"/>
    <n v="4"/>
  </r>
  <r>
    <s v="ORD-10930"/>
    <x v="320"/>
    <s v="Dec 2024"/>
    <x v="3"/>
    <n v="2024"/>
    <x v="4"/>
    <x v="0"/>
    <x v="3"/>
    <x v="4"/>
    <s v="Electronics Item 27"/>
    <n v="19"/>
    <n v="964.3"/>
    <n v="10"/>
    <n v="18321.7"/>
    <n v="1832.17"/>
    <n v="16489.53"/>
    <n v="8997.92"/>
    <n v="7491.61"/>
    <n v="45.4"/>
    <x v="2"/>
    <n v="2"/>
  </r>
  <r>
    <s v="ORD-10931"/>
    <x v="321"/>
    <s v="Dec 2024"/>
    <x v="3"/>
    <n v="2024"/>
    <x v="0"/>
    <x v="2"/>
    <x v="1"/>
    <x v="3"/>
    <s v="Home &amp; Garden Item 03"/>
    <n v="19"/>
    <n v="343.03"/>
    <n v="10"/>
    <n v="6517.57"/>
    <n v="651.76"/>
    <n v="5865.81"/>
    <n v="2398.12"/>
    <n v="3467.69"/>
    <n v="59.1"/>
    <x v="1"/>
    <n v="1"/>
  </r>
  <r>
    <s v="ORD-10932"/>
    <x v="321"/>
    <s v="Dec 2024"/>
    <x v="3"/>
    <n v="2024"/>
    <x v="0"/>
    <x v="4"/>
    <x v="0"/>
    <x v="4"/>
    <s v="Electronics Item 08"/>
    <n v="4"/>
    <n v="210.06"/>
    <n v="5"/>
    <n v="840.24"/>
    <n v="42.01"/>
    <n v="798.23"/>
    <n v="426.89"/>
    <n v="371.34"/>
    <n v="46.5"/>
    <x v="2"/>
    <n v="3"/>
  </r>
  <r>
    <s v="ORD-10933"/>
    <x v="321"/>
    <s v="Dec 2024"/>
    <x v="3"/>
    <n v="2024"/>
    <x v="2"/>
    <x v="1"/>
    <x v="1"/>
    <x v="0"/>
    <s v="Beauty Item 25"/>
    <n v="4"/>
    <n v="52.4"/>
    <n v="0"/>
    <n v="209.6"/>
    <n v="0"/>
    <n v="209.6"/>
    <n v="119.62"/>
    <n v="89.98"/>
    <n v="42.9"/>
    <x v="1"/>
    <n v="4"/>
  </r>
  <r>
    <s v="ORD-10934"/>
    <x v="321"/>
    <s v="Dec 2024"/>
    <x v="3"/>
    <n v="2024"/>
    <x v="1"/>
    <x v="3"/>
    <x v="0"/>
    <x v="0"/>
    <s v="Beauty Item 37"/>
    <n v="19"/>
    <n v="45.38"/>
    <n v="0"/>
    <n v="862.22"/>
    <n v="0"/>
    <n v="862.22"/>
    <n v="365.47"/>
    <n v="496.75"/>
    <n v="57.6"/>
    <x v="2"/>
    <n v="2"/>
  </r>
  <r>
    <s v="ORD-10935"/>
    <x v="322"/>
    <s v="Dec 2024"/>
    <x v="3"/>
    <n v="2024"/>
    <x v="4"/>
    <x v="2"/>
    <x v="1"/>
    <x v="2"/>
    <s v="Food &amp; Beverage Item 11"/>
    <n v="4"/>
    <n v="16.559999999999999"/>
    <n v="0"/>
    <n v="66.239999999999995"/>
    <n v="0"/>
    <n v="66.239999999999995"/>
    <n v="24.61"/>
    <n v="41.63"/>
    <n v="62.8"/>
    <x v="2"/>
    <n v="3"/>
  </r>
  <r>
    <s v="ORD-10936"/>
    <x v="322"/>
    <s v="Dec 2024"/>
    <x v="3"/>
    <n v="2024"/>
    <x v="1"/>
    <x v="8"/>
    <x v="3"/>
    <x v="0"/>
    <s v="Beauty Item 13"/>
    <n v="10"/>
    <n v="69.239999999999995"/>
    <n v="0"/>
    <n v="692.4"/>
    <n v="0"/>
    <n v="692.4"/>
    <n v="403.69"/>
    <n v="288.70999999999998"/>
    <n v="41.7"/>
    <x v="2"/>
    <n v="5"/>
  </r>
  <r>
    <s v="ORD-10937"/>
    <x v="322"/>
    <s v="Dec 2024"/>
    <x v="3"/>
    <n v="2024"/>
    <x v="2"/>
    <x v="8"/>
    <x v="0"/>
    <x v="4"/>
    <s v="Electronics Item 49"/>
    <n v="18"/>
    <n v="483.54"/>
    <n v="15"/>
    <n v="8703.7199999999993"/>
    <n v="1305.56"/>
    <n v="7398.16"/>
    <n v="3307.15"/>
    <n v="4091.01"/>
    <n v="55.3"/>
    <x v="0"/>
    <n v="1"/>
  </r>
  <r>
    <s v="ORD-10938"/>
    <x v="322"/>
    <s v="Dec 2024"/>
    <x v="3"/>
    <n v="2024"/>
    <x v="3"/>
    <x v="7"/>
    <x v="2"/>
    <x v="2"/>
    <s v="Food &amp; Beverage Item 28"/>
    <n v="12"/>
    <n v="38.68"/>
    <n v="0"/>
    <n v="464.16"/>
    <n v="0"/>
    <n v="464.16"/>
    <n v="291.14"/>
    <n v="173.02"/>
    <n v="37.299999999999997"/>
    <x v="1"/>
    <n v="2"/>
  </r>
  <r>
    <s v="ORD-10939"/>
    <x v="322"/>
    <s v="Dec 2024"/>
    <x v="3"/>
    <n v="2024"/>
    <x v="0"/>
    <x v="8"/>
    <x v="3"/>
    <x v="3"/>
    <s v="Home &amp; Garden Item 17"/>
    <n v="14"/>
    <n v="307.01"/>
    <n v="0"/>
    <n v="4298.1400000000003"/>
    <n v="0"/>
    <n v="4298.1400000000003"/>
    <n v="1619.88"/>
    <n v="2678.26"/>
    <n v="62.3"/>
    <x v="2"/>
    <n v="4"/>
  </r>
  <r>
    <s v="ORD-10940"/>
    <x v="322"/>
    <s v="Dec 2024"/>
    <x v="3"/>
    <n v="2024"/>
    <x v="3"/>
    <x v="6"/>
    <x v="2"/>
    <x v="0"/>
    <s v="Beauty Item 50"/>
    <n v="9"/>
    <n v="91.51"/>
    <n v="0"/>
    <n v="823.59"/>
    <n v="0"/>
    <n v="823.59"/>
    <n v="454.23"/>
    <n v="369.36"/>
    <n v="44.8"/>
    <x v="2"/>
    <n v="1"/>
  </r>
  <r>
    <s v="ORD-10941"/>
    <x v="323"/>
    <s v="Dec 2024"/>
    <x v="3"/>
    <n v="2024"/>
    <x v="2"/>
    <x v="0"/>
    <x v="3"/>
    <x v="1"/>
    <s v="Clothing Item 49"/>
    <n v="13"/>
    <n v="113.86"/>
    <n v="0"/>
    <n v="1480.18"/>
    <n v="0"/>
    <n v="1480.18"/>
    <n v="706.14"/>
    <n v="774.04"/>
    <n v="52.3"/>
    <x v="2"/>
    <n v="1"/>
  </r>
  <r>
    <s v="ORD-10942"/>
    <x v="323"/>
    <s v="Dec 2024"/>
    <x v="3"/>
    <n v="2024"/>
    <x v="2"/>
    <x v="2"/>
    <x v="0"/>
    <x v="0"/>
    <s v="Beauty Item 47"/>
    <n v="16"/>
    <n v="139.29"/>
    <n v="0"/>
    <n v="2228.64"/>
    <n v="0"/>
    <n v="2228.64"/>
    <n v="1012.9"/>
    <n v="1215.74"/>
    <n v="54.6"/>
    <x v="2"/>
    <n v="2"/>
  </r>
  <r>
    <s v="ORD-10943"/>
    <x v="323"/>
    <s v="Dec 2024"/>
    <x v="3"/>
    <n v="2024"/>
    <x v="2"/>
    <x v="6"/>
    <x v="2"/>
    <x v="5"/>
    <s v="Sports Item 23"/>
    <n v="19"/>
    <n v="351.11"/>
    <n v="20"/>
    <n v="6671.09"/>
    <n v="1334.22"/>
    <n v="5336.87"/>
    <n v="2381.4299999999998"/>
    <n v="2955.44"/>
    <n v="55.4"/>
    <x v="2"/>
    <n v="1"/>
  </r>
  <r>
    <s v="ORD-10944"/>
    <x v="323"/>
    <s v="Dec 2024"/>
    <x v="3"/>
    <n v="2024"/>
    <x v="2"/>
    <x v="1"/>
    <x v="2"/>
    <x v="1"/>
    <s v="Clothing Item 33"/>
    <n v="20"/>
    <n v="92.39"/>
    <n v="10"/>
    <n v="1847.8"/>
    <n v="184.78"/>
    <n v="1663.02"/>
    <n v="878.35"/>
    <n v="784.67"/>
    <n v="47.2"/>
    <x v="2"/>
    <n v="4"/>
  </r>
  <r>
    <s v="ORD-10945"/>
    <x v="324"/>
    <s v="Dec 2024"/>
    <x v="3"/>
    <n v="2024"/>
    <x v="0"/>
    <x v="6"/>
    <x v="0"/>
    <x v="1"/>
    <s v="Clothing Item 46"/>
    <n v="16"/>
    <n v="21.8"/>
    <n v="10"/>
    <n v="348.8"/>
    <n v="34.880000000000003"/>
    <n v="313.92"/>
    <n v="112.15"/>
    <n v="201.77"/>
    <n v="64.3"/>
    <x v="1"/>
    <n v="2"/>
  </r>
  <r>
    <s v="ORD-10946"/>
    <x v="324"/>
    <s v="Dec 2024"/>
    <x v="3"/>
    <n v="2024"/>
    <x v="3"/>
    <x v="1"/>
    <x v="3"/>
    <x v="1"/>
    <s v="Clothing Item 32"/>
    <n v="2"/>
    <n v="194.16"/>
    <n v="5"/>
    <n v="388.32"/>
    <n v="19.420000000000002"/>
    <n v="368.9"/>
    <n v="162.85"/>
    <n v="206.05"/>
    <n v="55.9"/>
    <x v="0"/>
    <n v="3"/>
  </r>
  <r>
    <s v="ORD-10947"/>
    <x v="325"/>
    <s v="Dec 2024"/>
    <x v="3"/>
    <n v="2024"/>
    <x v="4"/>
    <x v="6"/>
    <x v="2"/>
    <x v="2"/>
    <s v="Food &amp; Beverage Item 41"/>
    <n v="6"/>
    <n v="57.62"/>
    <n v="10"/>
    <n v="345.72"/>
    <n v="34.57"/>
    <n v="311.14999999999998"/>
    <n v="201.09"/>
    <n v="110.06"/>
    <n v="35.4"/>
    <x v="2"/>
    <n v="1"/>
  </r>
  <r>
    <s v="ORD-10948"/>
    <x v="325"/>
    <s v="Dec 2024"/>
    <x v="3"/>
    <n v="2024"/>
    <x v="0"/>
    <x v="9"/>
    <x v="2"/>
    <x v="0"/>
    <s v="Beauty Item 45"/>
    <n v="9"/>
    <n v="123.72"/>
    <n v="20"/>
    <n v="1113.48"/>
    <n v="222.7"/>
    <n v="890.78"/>
    <n v="476.45"/>
    <n v="414.33"/>
    <n v="46.5"/>
    <x v="2"/>
    <n v="4"/>
  </r>
  <r>
    <s v="ORD-10949"/>
    <x v="326"/>
    <s v="Dec 2024"/>
    <x v="3"/>
    <n v="2024"/>
    <x v="2"/>
    <x v="8"/>
    <x v="0"/>
    <x v="1"/>
    <s v="Clothing Item 24"/>
    <n v="13"/>
    <n v="124.86"/>
    <n v="20"/>
    <n v="1623.18"/>
    <n v="324.64"/>
    <n v="1298.54"/>
    <n v="840.22"/>
    <n v="458.32"/>
    <n v="35.299999999999997"/>
    <x v="2"/>
    <n v="5"/>
  </r>
  <r>
    <s v="ORD-10950"/>
    <x v="326"/>
    <s v="Dec 2024"/>
    <x v="3"/>
    <n v="2024"/>
    <x v="2"/>
    <x v="1"/>
    <x v="3"/>
    <x v="2"/>
    <s v="Food &amp; Beverage Item 45"/>
    <n v="5"/>
    <n v="73.58"/>
    <n v="15"/>
    <n v="367.9"/>
    <n v="55.18"/>
    <n v="312.72000000000003"/>
    <n v="150.94"/>
    <n v="161.78"/>
    <n v="51.7"/>
    <x v="2"/>
    <n v="4"/>
  </r>
  <r>
    <s v="ORD-10951"/>
    <x v="326"/>
    <s v="Dec 2024"/>
    <x v="3"/>
    <n v="2024"/>
    <x v="0"/>
    <x v="6"/>
    <x v="1"/>
    <x v="5"/>
    <s v="Sports Item 04"/>
    <n v="20"/>
    <n v="66.010000000000005"/>
    <n v="0"/>
    <n v="1320.2"/>
    <n v="0"/>
    <n v="1320.2"/>
    <n v="519.82000000000005"/>
    <n v="800.38"/>
    <n v="60.6"/>
    <x v="1"/>
    <n v="3"/>
  </r>
  <r>
    <s v="ORD-10952"/>
    <x v="327"/>
    <s v="Dec 2024"/>
    <x v="3"/>
    <n v="2024"/>
    <x v="3"/>
    <x v="3"/>
    <x v="3"/>
    <x v="4"/>
    <s v="Electronics Item 42"/>
    <n v="20"/>
    <n v="335.47"/>
    <n v="0"/>
    <n v="6709.4"/>
    <n v="0"/>
    <n v="6709.4"/>
    <n v="2438.62"/>
    <n v="4270.78"/>
    <n v="63.7"/>
    <x v="2"/>
    <n v="3"/>
  </r>
  <r>
    <s v="ORD-10953"/>
    <x v="327"/>
    <s v="Dec 2024"/>
    <x v="3"/>
    <n v="2024"/>
    <x v="3"/>
    <x v="4"/>
    <x v="0"/>
    <x v="5"/>
    <s v="Sports Item 25"/>
    <n v="13"/>
    <n v="274.26"/>
    <n v="15"/>
    <n v="3565.38"/>
    <n v="534.80999999999995"/>
    <n v="3030.57"/>
    <n v="1804.56"/>
    <n v="1226.01"/>
    <n v="40.5"/>
    <x v="1"/>
    <n v="1"/>
  </r>
  <r>
    <s v="ORD-10954"/>
    <x v="328"/>
    <s v="Dec 2024"/>
    <x v="3"/>
    <n v="2024"/>
    <x v="1"/>
    <x v="0"/>
    <x v="2"/>
    <x v="3"/>
    <s v="Home &amp; Garden Item 28"/>
    <n v="2"/>
    <n v="99.84"/>
    <n v="0"/>
    <n v="199.68"/>
    <n v="0"/>
    <n v="199.68"/>
    <n v="81.849999999999994"/>
    <n v="117.83"/>
    <n v="59"/>
    <x v="1"/>
    <n v="5"/>
  </r>
  <r>
    <s v="ORD-10955"/>
    <x v="328"/>
    <s v="Dec 2024"/>
    <x v="3"/>
    <n v="2024"/>
    <x v="1"/>
    <x v="2"/>
    <x v="2"/>
    <x v="2"/>
    <s v="Food &amp; Beverage Item 48"/>
    <n v="13"/>
    <n v="50.95"/>
    <n v="5"/>
    <n v="662.35"/>
    <n v="33.119999999999997"/>
    <n v="629.23"/>
    <n v="290.8"/>
    <n v="338.43"/>
    <n v="53.8"/>
    <x v="2"/>
    <n v="1"/>
  </r>
  <r>
    <s v="ORD-10956"/>
    <x v="329"/>
    <s v="Dec 2024"/>
    <x v="3"/>
    <n v="2024"/>
    <x v="1"/>
    <x v="9"/>
    <x v="0"/>
    <x v="2"/>
    <s v="Food &amp; Beverage Item 16"/>
    <n v="11"/>
    <n v="47.24"/>
    <n v="0"/>
    <n v="519.64"/>
    <n v="0"/>
    <n v="519.64"/>
    <n v="300"/>
    <n v="219.64"/>
    <n v="42.3"/>
    <x v="0"/>
    <n v="3"/>
  </r>
  <r>
    <s v="ORD-10957"/>
    <x v="329"/>
    <s v="Dec 2024"/>
    <x v="3"/>
    <n v="2024"/>
    <x v="2"/>
    <x v="1"/>
    <x v="3"/>
    <x v="1"/>
    <s v="Clothing Item 16"/>
    <n v="8"/>
    <n v="134.33000000000001"/>
    <n v="15"/>
    <n v="1074.6400000000001"/>
    <n v="161.19999999999999"/>
    <n v="913.44"/>
    <n v="553.39"/>
    <n v="360.05"/>
    <n v="39.4"/>
    <x v="2"/>
    <n v="4"/>
  </r>
  <r>
    <s v="ORD-10958"/>
    <x v="329"/>
    <s v="Dec 2024"/>
    <x v="3"/>
    <n v="2024"/>
    <x v="0"/>
    <x v="8"/>
    <x v="2"/>
    <x v="5"/>
    <s v="Sports Item 31"/>
    <n v="2"/>
    <n v="267.52999999999997"/>
    <n v="10"/>
    <n v="535.05999999999995"/>
    <n v="53.51"/>
    <n v="481.55"/>
    <n v="184.78"/>
    <n v="296.77"/>
    <n v="61.6"/>
    <x v="2"/>
    <n v="2"/>
  </r>
  <r>
    <s v="ORD-10959"/>
    <x v="330"/>
    <s v="Dec 2024"/>
    <x v="3"/>
    <n v="2024"/>
    <x v="0"/>
    <x v="3"/>
    <x v="1"/>
    <x v="0"/>
    <s v="Beauty Item 03"/>
    <n v="16"/>
    <n v="145.35"/>
    <n v="10"/>
    <n v="2325.6"/>
    <n v="232.56"/>
    <n v="2093.04"/>
    <n v="766.81"/>
    <n v="1326.23"/>
    <n v="63.4"/>
    <x v="0"/>
    <n v="2"/>
  </r>
  <r>
    <s v="ORD-10960"/>
    <x v="330"/>
    <s v="Dec 2024"/>
    <x v="3"/>
    <n v="2024"/>
    <x v="1"/>
    <x v="8"/>
    <x v="0"/>
    <x v="3"/>
    <s v="Home &amp; Garden Item 24"/>
    <n v="9"/>
    <n v="179.17"/>
    <n v="0"/>
    <n v="1612.53"/>
    <n v="0"/>
    <n v="1612.53"/>
    <n v="1023.44"/>
    <n v="589.09"/>
    <n v="36.5"/>
    <x v="2"/>
    <n v="4"/>
  </r>
  <r>
    <s v="ORD-10961"/>
    <x v="331"/>
    <s v="Dec 2024"/>
    <x v="3"/>
    <n v="2024"/>
    <x v="3"/>
    <x v="0"/>
    <x v="3"/>
    <x v="2"/>
    <s v="Food &amp; Beverage Item 41"/>
    <n v="12"/>
    <n v="64.72"/>
    <n v="0"/>
    <n v="776.64"/>
    <n v="0"/>
    <n v="776.64"/>
    <n v="487.74"/>
    <n v="288.89999999999998"/>
    <n v="37.200000000000003"/>
    <x v="1"/>
    <n v="5"/>
  </r>
  <r>
    <s v="ORD-10962"/>
    <x v="331"/>
    <s v="Dec 2024"/>
    <x v="3"/>
    <n v="2024"/>
    <x v="1"/>
    <x v="3"/>
    <x v="3"/>
    <x v="5"/>
    <s v="Sports Item 46"/>
    <n v="1"/>
    <n v="64.73"/>
    <n v="15"/>
    <n v="64.73"/>
    <n v="9.7100000000000009"/>
    <n v="55.02"/>
    <n v="33.6"/>
    <n v="21.42"/>
    <n v="38.9"/>
    <x v="1"/>
    <n v="4"/>
  </r>
  <r>
    <s v="ORD-10963"/>
    <x v="331"/>
    <s v="Dec 2024"/>
    <x v="3"/>
    <n v="2024"/>
    <x v="0"/>
    <x v="9"/>
    <x v="1"/>
    <x v="1"/>
    <s v="Clothing Item 44"/>
    <n v="11"/>
    <n v="33.24"/>
    <n v="0"/>
    <n v="365.64"/>
    <n v="0"/>
    <n v="365.64"/>
    <n v="217.94"/>
    <n v="147.69999999999999"/>
    <n v="40.4"/>
    <x v="2"/>
    <n v="5"/>
  </r>
  <r>
    <s v="ORD-10964"/>
    <x v="331"/>
    <s v="Dec 2024"/>
    <x v="3"/>
    <n v="2024"/>
    <x v="2"/>
    <x v="2"/>
    <x v="2"/>
    <x v="0"/>
    <s v="Beauty Item 02"/>
    <n v="10"/>
    <n v="41.08"/>
    <n v="5"/>
    <n v="410.8"/>
    <n v="20.54"/>
    <n v="390.26"/>
    <n v="138.19999999999999"/>
    <n v="252.06"/>
    <n v="64.599999999999994"/>
    <x v="2"/>
    <n v="3"/>
  </r>
  <r>
    <s v="ORD-10965"/>
    <x v="332"/>
    <s v="Dec 2024"/>
    <x v="3"/>
    <n v="2024"/>
    <x v="1"/>
    <x v="0"/>
    <x v="3"/>
    <x v="1"/>
    <s v="Clothing Item 45"/>
    <n v="10"/>
    <n v="153.16999999999999"/>
    <n v="20"/>
    <n v="1531.7"/>
    <n v="306.33999999999997"/>
    <n v="1225.3599999999999"/>
    <n v="683.92"/>
    <n v="541.44000000000005"/>
    <n v="44.2"/>
    <x v="2"/>
    <n v="1"/>
  </r>
  <r>
    <s v="ORD-10966"/>
    <x v="332"/>
    <s v="Dec 2024"/>
    <x v="3"/>
    <n v="2024"/>
    <x v="4"/>
    <x v="0"/>
    <x v="1"/>
    <x v="3"/>
    <s v="Home &amp; Garden Item 43"/>
    <n v="9"/>
    <n v="287.83999999999997"/>
    <n v="0"/>
    <n v="2590.56"/>
    <n v="0"/>
    <n v="2590.56"/>
    <n v="993.18"/>
    <n v="1597.38"/>
    <n v="61.7"/>
    <x v="2"/>
    <n v="4"/>
  </r>
  <r>
    <s v="ORD-10967"/>
    <x v="332"/>
    <s v="Dec 2024"/>
    <x v="3"/>
    <n v="2024"/>
    <x v="4"/>
    <x v="8"/>
    <x v="1"/>
    <x v="5"/>
    <s v="Sports Item 42"/>
    <n v="16"/>
    <n v="282.87"/>
    <n v="5"/>
    <n v="4525.92"/>
    <n v="226.3"/>
    <n v="4299.62"/>
    <n v="2085.4"/>
    <n v="2214.2199999999998"/>
    <n v="51.5"/>
    <x v="2"/>
    <n v="3"/>
  </r>
  <r>
    <s v="ORD-10968"/>
    <x v="333"/>
    <s v="Dec 2024"/>
    <x v="3"/>
    <n v="2024"/>
    <x v="3"/>
    <x v="6"/>
    <x v="1"/>
    <x v="1"/>
    <s v="Clothing Item 10"/>
    <n v="4"/>
    <n v="55.89"/>
    <n v="0"/>
    <n v="223.56"/>
    <n v="0"/>
    <n v="223.56"/>
    <n v="79.77"/>
    <n v="143.79"/>
    <n v="64.3"/>
    <x v="2"/>
    <n v="3"/>
  </r>
  <r>
    <s v="ORD-10969"/>
    <x v="333"/>
    <s v="Dec 2024"/>
    <x v="3"/>
    <n v="2024"/>
    <x v="0"/>
    <x v="3"/>
    <x v="0"/>
    <x v="3"/>
    <s v="Home &amp; Garden Item 17"/>
    <n v="8"/>
    <n v="199.58"/>
    <n v="10"/>
    <n v="1596.64"/>
    <n v="159.66"/>
    <n v="1436.98"/>
    <n v="593.04999999999995"/>
    <n v="843.93"/>
    <n v="58.7"/>
    <x v="2"/>
    <n v="1"/>
  </r>
  <r>
    <s v="ORD-10970"/>
    <x v="333"/>
    <s v="Dec 2024"/>
    <x v="3"/>
    <n v="2024"/>
    <x v="2"/>
    <x v="4"/>
    <x v="0"/>
    <x v="2"/>
    <s v="Food &amp; Beverage Item 39"/>
    <n v="5"/>
    <n v="39.729999999999997"/>
    <n v="15"/>
    <n v="198.65"/>
    <n v="29.8"/>
    <n v="168.85"/>
    <n v="86.35"/>
    <n v="82.5"/>
    <n v="48.9"/>
    <x v="2"/>
    <n v="1"/>
  </r>
  <r>
    <s v="ORD-10971"/>
    <x v="333"/>
    <s v="Dec 2024"/>
    <x v="3"/>
    <n v="2024"/>
    <x v="4"/>
    <x v="3"/>
    <x v="3"/>
    <x v="0"/>
    <s v="Beauty Item 30"/>
    <n v="10"/>
    <n v="105.14"/>
    <n v="0"/>
    <n v="1051.4000000000001"/>
    <n v="0"/>
    <n v="1051.4000000000001"/>
    <n v="432.27"/>
    <n v="619.13"/>
    <n v="58.9"/>
    <x v="2"/>
    <n v="4"/>
  </r>
  <r>
    <s v="ORD-10972"/>
    <x v="333"/>
    <s v="Dec 2024"/>
    <x v="3"/>
    <n v="2024"/>
    <x v="1"/>
    <x v="5"/>
    <x v="3"/>
    <x v="5"/>
    <s v="Sports Item 44"/>
    <n v="15"/>
    <n v="283.91000000000003"/>
    <n v="0"/>
    <n v="4258.6499999999996"/>
    <n v="0"/>
    <n v="4258.6499999999996"/>
    <n v="2159.0500000000002"/>
    <n v="2099.6"/>
    <n v="49.3"/>
    <x v="0"/>
    <n v="4"/>
  </r>
  <r>
    <s v="ORD-10973"/>
    <x v="334"/>
    <s v="Dec 2024"/>
    <x v="3"/>
    <n v="2024"/>
    <x v="2"/>
    <x v="7"/>
    <x v="3"/>
    <x v="5"/>
    <s v="Sports Item 10"/>
    <n v="11"/>
    <n v="81.53"/>
    <n v="10"/>
    <n v="896.83"/>
    <n v="89.68"/>
    <n v="807.15"/>
    <n v="345.14"/>
    <n v="462.01"/>
    <n v="57.2"/>
    <x v="2"/>
    <n v="2"/>
  </r>
  <r>
    <s v="ORD-10974"/>
    <x v="335"/>
    <s v="Dec 2024"/>
    <x v="3"/>
    <n v="2024"/>
    <x v="0"/>
    <x v="3"/>
    <x v="2"/>
    <x v="3"/>
    <s v="Home &amp; Garden Item 17"/>
    <n v="9"/>
    <n v="498.9"/>
    <n v="20"/>
    <n v="4490.1000000000004"/>
    <n v="898.02"/>
    <n v="3592.08"/>
    <n v="1777.75"/>
    <n v="1814.33"/>
    <n v="50.5"/>
    <x v="2"/>
    <n v="3"/>
  </r>
  <r>
    <s v="ORD-10975"/>
    <x v="336"/>
    <s v="Dec 2024"/>
    <x v="3"/>
    <n v="2024"/>
    <x v="1"/>
    <x v="5"/>
    <x v="2"/>
    <x v="5"/>
    <s v="Sports Item 16"/>
    <n v="14"/>
    <n v="206.04"/>
    <n v="20"/>
    <n v="2884.56"/>
    <n v="576.91"/>
    <n v="2307.65"/>
    <n v="1313"/>
    <n v="994.65"/>
    <n v="43.1"/>
    <x v="2"/>
    <n v="2"/>
  </r>
  <r>
    <s v="ORD-10976"/>
    <x v="336"/>
    <s v="Dec 2024"/>
    <x v="3"/>
    <n v="2024"/>
    <x v="2"/>
    <x v="6"/>
    <x v="3"/>
    <x v="0"/>
    <s v="Beauty Item 39"/>
    <n v="20"/>
    <n v="51.36"/>
    <n v="0"/>
    <n v="1027.2"/>
    <n v="0"/>
    <n v="1027.2"/>
    <n v="403.08"/>
    <n v="624.12"/>
    <n v="60.8"/>
    <x v="0"/>
    <n v="4"/>
  </r>
  <r>
    <s v="ORD-10977"/>
    <x v="336"/>
    <s v="Dec 2024"/>
    <x v="3"/>
    <n v="2024"/>
    <x v="0"/>
    <x v="4"/>
    <x v="0"/>
    <x v="0"/>
    <s v="Beauty Item 38"/>
    <n v="3"/>
    <n v="138.88"/>
    <n v="10"/>
    <n v="416.64"/>
    <n v="41.66"/>
    <n v="374.98"/>
    <n v="209.85"/>
    <n v="165.13"/>
    <n v="44"/>
    <x v="2"/>
    <n v="2"/>
  </r>
  <r>
    <s v="ORD-10978"/>
    <x v="336"/>
    <s v="Dec 2024"/>
    <x v="3"/>
    <n v="2024"/>
    <x v="2"/>
    <x v="2"/>
    <x v="0"/>
    <x v="5"/>
    <s v="Sports Item 43"/>
    <n v="7"/>
    <n v="57.2"/>
    <n v="20"/>
    <n v="400.4"/>
    <n v="80.08"/>
    <n v="320.32"/>
    <n v="113.88"/>
    <n v="206.44"/>
    <n v="64.400000000000006"/>
    <x v="2"/>
    <n v="5"/>
  </r>
  <r>
    <s v="ORD-10979"/>
    <x v="336"/>
    <s v="Dec 2024"/>
    <x v="3"/>
    <n v="2024"/>
    <x v="4"/>
    <x v="4"/>
    <x v="1"/>
    <x v="1"/>
    <s v="Clothing Item 11"/>
    <n v="15"/>
    <n v="168.79"/>
    <n v="10"/>
    <n v="2531.85"/>
    <n v="253.19"/>
    <n v="2278.66"/>
    <n v="1196.07"/>
    <n v="1082.5899999999999"/>
    <n v="47.5"/>
    <x v="2"/>
    <n v="3"/>
  </r>
  <r>
    <s v="ORD-10980"/>
    <x v="336"/>
    <s v="Dec 2024"/>
    <x v="3"/>
    <n v="2024"/>
    <x v="4"/>
    <x v="8"/>
    <x v="3"/>
    <x v="1"/>
    <s v="Clothing Item 01"/>
    <n v="7"/>
    <n v="150.08000000000001"/>
    <n v="5"/>
    <n v="1050.56"/>
    <n v="52.53"/>
    <n v="998.03"/>
    <n v="547.98"/>
    <n v="450.05"/>
    <n v="45.1"/>
    <x v="2"/>
    <n v="5"/>
  </r>
  <r>
    <s v="ORD-10981"/>
    <x v="337"/>
    <s v="Dec 2024"/>
    <x v="3"/>
    <n v="2024"/>
    <x v="0"/>
    <x v="3"/>
    <x v="2"/>
    <x v="0"/>
    <s v="Beauty Item 08"/>
    <n v="14"/>
    <n v="58.77"/>
    <n v="5"/>
    <n v="822.78"/>
    <n v="41.14"/>
    <n v="781.64"/>
    <n v="283.77"/>
    <n v="497.87"/>
    <n v="63.7"/>
    <x v="1"/>
    <n v="5"/>
  </r>
  <r>
    <s v="ORD-10982"/>
    <x v="337"/>
    <s v="Dec 2024"/>
    <x v="3"/>
    <n v="2024"/>
    <x v="4"/>
    <x v="6"/>
    <x v="1"/>
    <x v="1"/>
    <s v="Clothing Item 50"/>
    <n v="16"/>
    <n v="78.47"/>
    <n v="0"/>
    <n v="1255.52"/>
    <n v="0"/>
    <n v="1255.52"/>
    <n v="503.58"/>
    <n v="751.94"/>
    <n v="59.9"/>
    <x v="0"/>
    <n v="4"/>
  </r>
  <r>
    <s v="ORD-10983"/>
    <x v="338"/>
    <s v="Dec 2024"/>
    <x v="3"/>
    <n v="2024"/>
    <x v="0"/>
    <x v="0"/>
    <x v="0"/>
    <x v="3"/>
    <s v="Home &amp; Garden Item 06"/>
    <n v="17"/>
    <n v="396.45"/>
    <n v="0"/>
    <n v="6739.65"/>
    <n v="0"/>
    <n v="6739.65"/>
    <n v="2933.12"/>
    <n v="3806.53"/>
    <n v="56.5"/>
    <x v="1"/>
    <n v="5"/>
  </r>
  <r>
    <s v="ORD-10984"/>
    <x v="339"/>
    <s v="Dec 2024"/>
    <x v="3"/>
    <n v="2024"/>
    <x v="3"/>
    <x v="6"/>
    <x v="3"/>
    <x v="4"/>
    <s v="Electronics Item 42"/>
    <n v="12"/>
    <n v="649.28"/>
    <n v="15"/>
    <n v="7791.36"/>
    <n v="1168.7"/>
    <n v="6622.66"/>
    <n v="3885.89"/>
    <n v="2736.77"/>
    <n v="41.3"/>
    <x v="2"/>
    <n v="4"/>
  </r>
  <r>
    <s v="ORD-10985"/>
    <x v="339"/>
    <s v="Dec 2024"/>
    <x v="3"/>
    <n v="2024"/>
    <x v="4"/>
    <x v="7"/>
    <x v="0"/>
    <x v="2"/>
    <s v="Food &amp; Beverage Item 46"/>
    <n v="2"/>
    <n v="31.12"/>
    <n v="0"/>
    <n v="62.24"/>
    <n v="0"/>
    <n v="62.24"/>
    <n v="33.32"/>
    <n v="28.92"/>
    <n v="46.5"/>
    <x v="2"/>
    <n v="1"/>
  </r>
  <r>
    <s v="ORD-10986"/>
    <x v="339"/>
    <s v="Dec 2024"/>
    <x v="3"/>
    <n v="2024"/>
    <x v="2"/>
    <x v="3"/>
    <x v="1"/>
    <x v="5"/>
    <s v="Sports Item 25"/>
    <n v="17"/>
    <n v="61.61"/>
    <n v="0"/>
    <n v="1047.3699999999999"/>
    <n v="0"/>
    <n v="1047.3699999999999"/>
    <n v="383.26"/>
    <n v="664.11"/>
    <n v="63.4"/>
    <x v="2"/>
    <n v="1"/>
  </r>
  <r>
    <s v="ORD-10987"/>
    <x v="339"/>
    <s v="Dec 2024"/>
    <x v="3"/>
    <n v="2024"/>
    <x v="2"/>
    <x v="2"/>
    <x v="3"/>
    <x v="3"/>
    <s v="Home &amp; Garden Item 26"/>
    <n v="6"/>
    <n v="366.56"/>
    <n v="10"/>
    <n v="2199.36"/>
    <n v="219.94"/>
    <n v="1979.42"/>
    <n v="1081.6099999999999"/>
    <n v="897.81"/>
    <n v="45.4"/>
    <x v="1"/>
    <n v="2"/>
  </r>
  <r>
    <s v="ORD-10988"/>
    <x v="339"/>
    <s v="Dec 2024"/>
    <x v="3"/>
    <n v="2024"/>
    <x v="0"/>
    <x v="9"/>
    <x v="2"/>
    <x v="0"/>
    <s v="Beauty Item 46"/>
    <n v="3"/>
    <n v="73.34"/>
    <n v="0"/>
    <n v="220.02"/>
    <n v="0"/>
    <n v="220.02"/>
    <n v="77.56"/>
    <n v="142.46"/>
    <n v="64.7"/>
    <x v="2"/>
    <n v="1"/>
  </r>
  <r>
    <s v="ORD-10989"/>
    <x v="339"/>
    <s v="Dec 2024"/>
    <x v="3"/>
    <n v="2024"/>
    <x v="3"/>
    <x v="4"/>
    <x v="3"/>
    <x v="4"/>
    <s v="Electronics Item 38"/>
    <n v="10"/>
    <n v="127.25"/>
    <n v="0"/>
    <n v="1272.5"/>
    <n v="0"/>
    <n v="1272.5"/>
    <n v="593.74"/>
    <n v="678.76"/>
    <n v="53.3"/>
    <x v="2"/>
    <n v="2"/>
  </r>
  <r>
    <s v="ORD-10990"/>
    <x v="340"/>
    <s v="Dec 2024"/>
    <x v="3"/>
    <n v="2024"/>
    <x v="1"/>
    <x v="5"/>
    <x v="2"/>
    <x v="2"/>
    <s v="Food &amp; Beverage Item 06"/>
    <n v="17"/>
    <n v="8.35"/>
    <n v="0"/>
    <n v="141.94999999999999"/>
    <n v="0"/>
    <n v="141.94999999999999"/>
    <n v="61.24"/>
    <n v="80.709999999999994"/>
    <n v="56.9"/>
    <x v="2"/>
    <n v="1"/>
  </r>
  <r>
    <s v="ORD-10991"/>
    <x v="340"/>
    <s v="Dec 2024"/>
    <x v="3"/>
    <n v="2024"/>
    <x v="2"/>
    <x v="2"/>
    <x v="3"/>
    <x v="0"/>
    <s v="Beauty Item 34"/>
    <n v="13"/>
    <n v="109.51"/>
    <n v="20"/>
    <n v="1423.63"/>
    <n v="284.73"/>
    <n v="1138.9000000000001"/>
    <n v="689.75"/>
    <n v="449.15"/>
    <n v="39.4"/>
    <x v="0"/>
    <n v="1"/>
  </r>
  <r>
    <s v="ORD-10992"/>
    <x v="341"/>
    <s v="Dec 2024"/>
    <x v="3"/>
    <n v="2024"/>
    <x v="3"/>
    <x v="5"/>
    <x v="3"/>
    <x v="4"/>
    <s v="Electronics Item 13"/>
    <n v="5"/>
    <n v="75.97"/>
    <n v="10"/>
    <n v="379.85"/>
    <n v="37.99"/>
    <n v="341.86"/>
    <n v="187.35"/>
    <n v="154.51"/>
    <n v="45.2"/>
    <x v="2"/>
    <n v="1"/>
  </r>
  <r>
    <s v="ORD-10993"/>
    <x v="341"/>
    <s v="Dec 2024"/>
    <x v="3"/>
    <n v="2024"/>
    <x v="2"/>
    <x v="8"/>
    <x v="3"/>
    <x v="3"/>
    <s v="Home &amp; Garden Item 28"/>
    <n v="17"/>
    <n v="184.68"/>
    <n v="10"/>
    <n v="3139.56"/>
    <n v="313.95999999999998"/>
    <n v="2825.6"/>
    <n v="1721.59"/>
    <n v="1104.01"/>
    <n v="39.1"/>
    <x v="0"/>
    <n v="5"/>
  </r>
  <r>
    <s v="ORD-10994"/>
    <x v="341"/>
    <s v="Dec 2024"/>
    <x v="3"/>
    <n v="2024"/>
    <x v="0"/>
    <x v="0"/>
    <x v="3"/>
    <x v="4"/>
    <s v="Electronics Item 11"/>
    <n v="19"/>
    <n v="175.77"/>
    <n v="0"/>
    <n v="3339.63"/>
    <n v="0"/>
    <n v="3339.63"/>
    <n v="1187.98"/>
    <n v="2151.65"/>
    <n v="64.400000000000006"/>
    <x v="2"/>
    <n v="3"/>
  </r>
  <r>
    <s v="ORD-10995"/>
    <x v="342"/>
    <s v="Dec 2024"/>
    <x v="3"/>
    <n v="2024"/>
    <x v="0"/>
    <x v="0"/>
    <x v="2"/>
    <x v="1"/>
    <s v="Clothing Item 28"/>
    <n v="1"/>
    <n v="163.01"/>
    <n v="15"/>
    <n v="163.01"/>
    <n v="24.45"/>
    <n v="138.56"/>
    <n v="84.55"/>
    <n v="54.01"/>
    <n v="39"/>
    <x v="2"/>
    <n v="2"/>
  </r>
  <r>
    <s v="ORD-10996"/>
    <x v="342"/>
    <s v="Dec 2024"/>
    <x v="3"/>
    <n v="2024"/>
    <x v="1"/>
    <x v="9"/>
    <x v="0"/>
    <x v="3"/>
    <s v="Home &amp; Garden Item 17"/>
    <n v="6"/>
    <n v="466.36"/>
    <n v="0"/>
    <n v="2798.16"/>
    <n v="0"/>
    <n v="2798.16"/>
    <n v="1524.5"/>
    <n v="1273.6600000000001"/>
    <n v="45.5"/>
    <x v="2"/>
    <n v="1"/>
  </r>
  <r>
    <s v="ORD-10997"/>
    <x v="342"/>
    <s v="Dec 2024"/>
    <x v="3"/>
    <n v="2024"/>
    <x v="0"/>
    <x v="1"/>
    <x v="3"/>
    <x v="5"/>
    <s v="Sports Item 45"/>
    <n v="7"/>
    <n v="302.68"/>
    <n v="0"/>
    <n v="2118.7600000000002"/>
    <n v="0"/>
    <n v="2118.7600000000002"/>
    <n v="888.5"/>
    <n v="1230.26"/>
    <n v="58.1"/>
    <x v="2"/>
    <n v="5"/>
  </r>
  <r>
    <s v="ORD-10998"/>
    <x v="342"/>
    <s v="Dec 2024"/>
    <x v="3"/>
    <n v="2024"/>
    <x v="1"/>
    <x v="2"/>
    <x v="1"/>
    <x v="0"/>
    <s v="Beauty Item 20"/>
    <n v="7"/>
    <n v="82.24"/>
    <n v="15"/>
    <n v="575.67999999999995"/>
    <n v="86.35"/>
    <n v="489.33"/>
    <n v="227.15"/>
    <n v="262.18"/>
    <n v="53.6"/>
    <x v="0"/>
    <n v="1"/>
  </r>
  <r>
    <s v="ORD-10999"/>
    <x v="343"/>
    <s v="Dec 2024"/>
    <x v="3"/>
    <n v="2024"/>
    <x v="0"/>
    <x v="0"/>
    <x v="3"/>
    <x v="1"/>
    <s v="Clothing Item 33"/>
    <n v="2"/>
    <n v="117.1"/>
    <n v="15"/>
    <n v="234.2"/>
    <n v="35.130000000000003"/>
    <n v="199.07"/>
    <n v="128"/>
    <n v="71.069999999999993"/>
    <n v="35.700000000000003"/>
    <x v="2"/>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D4ED4B-6BA4-4122-8E20-2C7095B8318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8" firstHeaderRow="0" firstDataRow="1" firstDataCol="0"/>
  <pivotFields count="2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h="1" x="0"/>
        <item h="1" x="1"/>
        <item x="2"/>
        <item x="3"/>
        <item t="default"/>
      </items>
    </pivotField>
    <pivotField showAll="0"/>
    <pivotField showAll="0">
      <items count="6">
        <item x="3"/>
        <item x="1"/>
        <item x="0"/>
        <item x="4"/>
        <item x="2"/>
        <item t="default"/>
      </items>
    </pivotField>
    <pivotField showAll="0"/>
    <pivotField showAll="0">
      <items count="5">
        <item x="2"/>
        <item x="3"/>
        <item x="1"/>
        <item x="0"/>
        <item t="default"/>
      </items>
    </pivotField>
    <pivotField showAll="0"/>
    <pivotField showAll="0"/>
    <pivotField showAll="0"/>
    <pivotField numFmtId="165" showAll="0"/>
    <pivotField numFmtId="166" showAll="0"/>
    <pivotField numFmtId="165" showAll="0"/>
    <pivotField numFmtId="165" showAll="0"/>
    <pivotField dataField="1" numFmtId="165" showAll="0"/>
    <pivotField numFmtId="165" showAll="0"/>
    <pivotField dataField="1" numFmtId="165" showAll="0"/>
    <pivotField numFmtId="166"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Gross Profit ($)" fld="17" baseField="0" baseItem="0" numFmtId="165"/>
    <dataField name="Sum of Net Revenue ($)" fld="15" baseField="0" baseItem="0" numFmtId="169"/>
  </dataFields>
  <formats count="1">
    <format dxfId="127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C2F4D2-BA8D-4613-8D96-E059E2541192}"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T2:V8" firstHeaderRow="0" firstDataRow="1" firstDataCol="1"/>
  <pivotFields count="2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h="1" x="0"/>
        <item h="1" x="1"/>
        <item x="2"/>
        <item x="3"/>
        <item t="default"/>
      </items>
    </pivotField>
    <pivotField showAll="0"/>
    <pivotField showAll="0">
      <items count="6">
        <item x="3"/>
        <item x="1"/>
        <item x="0"/>
        <item x="4"/>
        <item x="2"/>
        <item t="default"/>
      </items>
    </pivotField>
    <pivotField showAll="0"/>
    <pivotField showAll="0">
      <items count="5">
        <item x="2"/>
        <item x="3"/>
        <item x="1"/>
        <item x="0"/>
        <item t="default"/>
      </items>
    </pivotField>
    <pivotField axis="axisRow" showAll="0" sortType="descending">
      <items count="7">
        <item x="0"/>
        <item x="1"/>
        <item x="4"/>
        <item x="2"/>
        <item x="3"/>
        <item x="5"/>
        <item t="default"/>
      </items>
      <autoSortScope>
        <pivotArea dataOnly="0" outline="0" fieldPosition="0">
          <references count="1">
            <reference field="4294967294" count="1" selected="0">
              <x v="1"/>
            </reference>
          </references>
        </pivotArea>
      </autoSortScope>
    </pivotField>
    <pivotField showAll="0"/>
    <pivotField showAll="0"/>
    <pivotField numFmtId="165" showAll="0"/>
    <pivotField numFmtId="166" showAll="0"/>
    <pivotField numFmtId="165" showAll="0"/>
    <pivotField numFmtId="165" showAll="0"/>
    <pivotField dataField="1" numFmtId="165" showAll="0"/>
    <pivotField numFmtId="165" showAll="0"/>
    <pivotField dataField="1" numFmtId="165" showAll="0"/>
    <pivotField numFmtId="166"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v="2"/>
    </i>
    <i>
      <x v="4"/>
    </i>
    <i>
      <x v="5"/>
    </i>
    <i>
      <x/>
    </i>
    <i>
      <x v="1"/>
    </i>
    <i>
      <x v="3"/>
    </i>
  </rowItems>
  <colFields count="1">
    <field x="-2"/>
  </colFields>
  <colItems count="2">
    <i>
      <x/>
    </i>
    <i i="1">
      <x v="1"/>
    </i>
  </colItems>
  <dataFields count="2">
    <dataField name="Sum of Gross Profit ($)" fld="17" baseField="0" baseItem="0" numFmtId="171"/>
    <dataField name="Sum of Net Revenue ($)" fld="15" baseField="0" baseItem="0" numFmtId="171"/>
  </dataFields>
  <formats count="5">
    <format dxfId="1275">
      <pivotArea collapsedLevelsAreSubtotals="1" fieldPosition="0">
        <references count="2">
          <reference field="4294967294" count="1" selected="0">
            <x v="1"/>
          </reference>
          <reference field="8" count="1">
            <x v="1"/>
          </reference>
        </references>
      </pivotArea>
    </format>
    <format dxfId="1274">
      <pivotArea outline="0" fieldPosition="0">
        <references count="1">
          <reference field="4294967294" count="1">
            <x v="0"/>
          </reference>
        </references>
      </pivotArea>
    </format>
    <format dxfId="1273">
      <pivotArea outline="0" fieldPosition="0">
        <references count="1">
          <reference field="4294967294" count="1">
            <x v="1"/>
          </reference>
        </references>
      </pivotArea>
    </format>
    <format dxfId="1272">
      <pivotArea outline="0" collapsedLevelsAreSubtotals="1" fieldPosition="0">
        <references count="1">
          <reference field="4294967294" count="1" selected="0">
            <x v="0"/>
          </reference>
        </references>
      </pivotArea>
    </format>
    <format dxfId="1271">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BC775F-3A91-4B2E-A770-FF36039AD52C}"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X2:Y7" firstHeaderRow="1" firstDataRow="1" firstDataCol="1"/>
  <pivotFields count="2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h="1" x="0"/>
        <item h="1" x="1"/>
        <item x="2"/>
        <item x="3"/>
        <item t="default"/>
      </items>
    </pivotField>
    <pivotField showAll="0"/>
    <pivotField showAll="0">
      <items count="6">
        <item x="3"/>
        <item x="1"/>
        <item x="0"/>
        <item x="4"/>
        <item x="2"/>
        <item t="default"/>
      </items>
    </pivotField>
    <pivotField axis="axisRow" showAll="0" measureFilter="1" sortType="ascending">
      <items count="11">
        <item x="7"/>
        <item x="1"/>
        <item x="5"/>
        <item x="2"/>
        <item x="8"/>
        <item x="9"/>
        <item x="0"/>
        <item x="4"/>
        <item x="3"/>
        <item x="6"/>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pivotField showAll="0"/>
    <pivotField showAll="0"/>
    <pivotField numFmtId="165" showAll="0"/>
    <pivotField numFmtId="166" showAll="0"/>
    <pivotField numFmtId="165" showAll="0"/>
    <pivotField numFmtId="165" showAll="0"/>
    <pivotField dataField="1" numFmtId="165" showAll="0"/>
    <pivotField numFmtId="165" showAll="0"/>
    <pivotField numFmtId="165" showAll="0"/>
    <pivotField numFmtId="166"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v="4"/>
    </i>
    <i>
      <x v="3"/>
    </i>
    <i>
      <x v="6"/>
    </i>
    <i>
      <x v="7"/>
    </i>
    <i>
      <x v="9"/>
    </i>
  </rowItems>
  <colItems count="1">
    <i/>
  </colItems>
  <dataFields count="1">
    <dataField name="Sum of Net Revenue ($)" fld="15" baseField="0" baseItem="0" numFmtId="171"/>
  </dataFields>
  <formats count="2">
    <format dxfId="1277">
      <pivotArea collapsedLevelsAreSubtotals="1" fieldPosition="0">
        <references count="1">
          <reference field="6" count="1">
            <x v="0"/>
          </reference>
        </references>
      </pivotArea>
    </format>
    <format dxfId="1276">
      <pivotArea outline="0" collapsedLevelsAreSubtotals="1" fieldPosition="0"/>
    </format>
  </formats>
  <chartFormats count="34">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6" count="1" selected="0">
            <x v="9"/>
          </reference>
        </references>
      </pivotArea>
    </chartFormat>
    <chartFormat chart="5" format="4">
      <pivotArea type="data" outline="0" fieldPosition="0">
        <references count="2">
          <reference field="4294967294" count="1" selected="0">
            <x v="0"/>
          </reference>
          <reference field="6" count="1" selected="0">
            <x v="8"/>
          </reference>
        </references>
      </pivotArea>
    </chartFormat>
    <chartFormat chart="5" format="5">
      <pivotArea type="data" outline="0" fieldPosition="0">
        <references count="2">
          <reference field="4294967294" count="1" selected="0">
            <x v="0"/>
          </reference>
          <reference field="6" count="1" selected="0">
            <x v="7"/>
          </reference>
        </references>
      </pivotArea>
    </chartFormat>
    <chartFormat chart="5" format="6">
      <pivotArea type="data" outline="0" fieldPosition="0">
        <references count="2">
          <reference field="4294967294" count="1" selected="0">
            <x v="0"/>
          </reference>
          <reference field="6" count="1" selected="0">
            <x v="6"/>
          </reference>
        </references>
      </pivotArea>
    </chartFormat>
    <chartFormat chart="5" format="7">
      <pivotArea type="data" outline="0" fieldPosition="0">
        <references count="2">
          <reference field="4294967294" count="1" selected="0">
            <x v="0"/>
          </reference>
          <reference field="6" count="1" selected="0">
            <x v="5"/>
          </reference>
        </references>
      </pivotArea>
    </chartFormat>
    <chartFormat chart="5" format="8">
      <pivotArea type="data" outline="0" fieldPosition="0">
        <references count="2">
          <reference field="4294967294" count="1" selected="0">
            <x v="0"/>
          </reference>
          <reference field="6" count="1" selected="0">
            <x v="4"/>
          </reference>
        </references>
      </pivotArea>
    </chartFormat>
    <chartFormat chart="5" format="9">
      <pivotArea type="data" outline="0" fieldPosition="0">
        <references count="2">
          <reference field="4294967294" count="1" selected="0">
            <x v="0"/>
          </reference>
          <reference field="6" count="1" selected="0">
            <x v="3"/>
          </reference>
        </references>
      </pivotArea>
    </chartFormat>
    <chartFormat chart="5" format="10">
      <pivotArea type="data" outline="0" fieldPosition="0">
        <references count="2">
          <reference field="4294967294" count="1" selected="0">
            <x v="0"/>
          </reference>
          <reference field="6" count="1" selected="0">
            <x v="2"/>
          </reference>
        </references>
      </pivotArea>
    </chartFormat>
    <chartFormat chart="5" format="11">
      <pivotArea type="data" outline="0" fieldPosition="0">
        <references count="2">
          <reference field="4294967294" count="1" selected="0">
            <x v="0"/>
          </reference>
          <reference field="6" count="1" selected="0">
            <x v="1"/>
          </reference>
        </references>
      </pivotArea>
    </chartFormat>
    <chartFormat chart="5" format="12">
      <pivotArea type="data" outline="0" fieldPosition="0">
        <references count="2">
          <reference field="4294967294" count="1" selected="0">
            <x v="0"/>
          </reference>
          <reference field="6" count="1" selected="0">
            <x v="0"/>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6" count="1" selected="0">
            <x v="0"/>
          </reference>
        </references>
      </pivotArea>
    </chartFormat>
    <chartFormat chart="9" format="15">
      <pivotArea type="data" outline="0" fieldPosition="0">
        <references count="2">
          <reference field="4294967294" count="1" selected="0">
            <x v="0"/>
          </reference>
          <reference field="6" count="1" selected="0">
            <x v="1"/>
          </reference>
        </references>
      </pivotArea>
    </chartFormat>
    <chartFormat chart="9" format="16">
      <pivotArea type="data" outline="0" fieldPosition="0">
        <references count="2">
          <reference field="4294967294" count="1" selected="0">
            <x v="0"/>
          </reference>
          <reference field="6" count="1" selected="0">
            <x v="2"/>
          </reference>
        </references>
      </pivotArea>
    </chartFormat>
    <chartFormat chart="9" format="17">
      <pivotArea type="data" outline="0" fieldPosition="0">
        <references count="2">
          <reference field="4294967294" count="1" selected="0">
            <x v="0"/>
          </reference>
          <reference field="6" count="1" selected="0">
            <x v="3"/>
          </reference>
        </references>
      </pivotArea>
    </chartFormat>
    <chartFormat chart="9" format="18">
      <pivotArea type="data" outline="0" fieldPosition="0">
        <references count="2">
          <reference field="4294967294" count="1" selected="0">
            <x v="0"/>
          </reference>
          <reference field="6" count="1" selected="0">
            <x v="4"/>
          </reference>
        </references>
      </pivotArea>
    </chartFormat>
    <chartFormat chart="9" format="19">
      <pivotArea type="data" outline="0" fieldPosition="0">
        <references count="2">
          <reference field="4294967294" count="1" selected="0">
            <x v="0"/>
          </reference>
          <reference field="6" count="1" selected="0">
            <x v="5"/>
          </reference>
        </references>
      </pivotArea>
    </chartFormat>
    <chartFormat chart="9" format="20">
      <pivotArea type="data" outline="0" fieldPosition="0">
        <references count="2">
          <reference field="4294967294" count="1" selected="0">
            <x v="0"/>
          </reference>
          <reference field="6" count="1" selected="0">
            <x v="6"/>
          </reference>
        </references>
      </pivotArea>
    </chartFormat>
    <chartFormat chart="9" format="21">
      <pivotArea type="data" outline="0" fieldPosition="0">
        <references count="2">
          <reference field="4294967294" count="1" selected="0">
            <x v="0"/>
          </reference>
          <reference field="6" count="1" selected="0">
            <x v="7"/>
          </reference>
        </references>
      </pivotArea>
    </chartFormat>
    <chartFormat chart="9" format="22">
      <pivotArea type="data" outline="0" fieldPosition="0">
        <references count="2">
          <reference field="4294967294" count="1" selected="0">
            <x v="0"/>
          </reference>
          <reference field="6" count="1" selected="0">
            <x v="8"/>
          </reference>
        </references>
      </pivotArea>
    </chartFormat>
    <chartFormat chart="9" format="23">
      <pivotArea type="data" outline="0" fieldPosition="0">
        <references count="2">
          <reference field="4294967294" count="1" selected="0">
            <x v="0"/>
          </reference>
          <reference field="6" count="1" selected="0">
            <x v="9"/>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6" count="1" selected="0">
            <x v="0"/>
          </reference>
        </references>
      </pivotArea>
    </chartFormat>
    <chartFormat chart="10" format="26">
      <pivotArea type="data" outline="0" fieldPosition="0">
        <references count="2">
          <reference field="4294967294" count="1" selected="0">
            <x v="0"/>
          </reference>
          <reference field="6" count="1" selected="0">
            <x v="1"/>
          </reference>
        </references>
      </pivotArea>
    </chartFormat>
    <chartFormat chart="10" format="27">
      <pivotArea type="data" outline="0" fieldPosition="0">
        <references count="2">
          <reference field="4294967294" count="1" selected="0">
            <x v="0"/>
          </reference>
          <reference field="6" count="1" selected="0">
            <x v="2"/>
          </reference>
        </references>
      </pivotArea>
    </chartFormat>
    <chartFormat chart="10" format="28">
      <pivotArea type="data" outline="0" fieldPosition="0">
        <references count="2">
          <reference field="4294967294" count="1" selected="0">
            <x v="0"/>
          </reference>
          <reference field="6" count="1" selected="0">
            <x v="3"/>
          </reference>
        </references>
      </pivotArea>
    </chartFormat>
    <chartFormat chart="10" format="29">
      <pivotArea type="data" outline="0" fieldPosition="0">
        <references count="2">
          <reference field="4294967294" count="1" selected="0">
            <x v="0"/>
          </reference>
          <reference field="6" count="1" selected="0">
            <x v="4"/>
          </reference>
        </references>
      </pivotArea>
    </chartFormat>
    <chartFormat chart="10" format="30">
      <pivotArea type="data" outline="0" fieldPosition="0">
        <references count="2">
          <reference field="4294967294" count="1" selected="0">
            <x v="0"/>
          </reference>
          <reference field="6" count="1" selected="0">
            <x v="5"/>
          </reference>
        </references>
      </pivotArea>
    </chartFormat>
    <chartFormat chart="10" format="31">
      <pivotArea type="data" outline="0" fieldPosition="0">
        <references count="2">
          <reference field="4294967294" count="1" selected="0">
            <x v="0"/>
          </reference>
          <reference field="6" count="1" selected="0">
            <x v="6"/>
          </reference>
        </references>
      </pivotArea>
    </chartFormat>
    <chartFormat chart="10" format="32">
      <pivotArea type="data" outline="0" fieldPosition="0">
        <references count="2">
          <reference field="4294967294" count="1" selected="0">
            <x v="0"/>
          </reference>
          <reference field="6" count="1" selected="0">
            <x v="7"/>
          </reference>
        </references>
      </pivotArea>
    </chartFormat>
    <chartFormat chart="10" format="33">
      <pivotArea type="data" outline="0" fieldPosition="0">
        <references count="2">
          <reference field="4294967294" count="1" selected="0">
            <x v="0"/>
          </reference>
          <reference field="6" count="1" selected="0">
            <x v="8"/>
          </reference>
        </references>
      </pivotArea>
    </chartFormat>
    <chartFormat chart="10" format="34">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A33F7F-3909-4E35-9B53-985A69B89B6D}"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3:C25" firstHeaderRow="0" firstDataRow="1" firstDataCol="1"/>
  <pivotFields count="2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axis="axisRow" showAll="0" sortType="ascending">
      <items count="5">
        <item h="1" x="0"/>
        <item h="1" x="1"/>
        <item x="2"/>
        <item x="3"/>
        <item t="default"/>
      </items>
    </pivotField>
    <pivotField showAll="0"/>
    <pivotField showAll="0">
      <items count="6">
        <item x="3"/>
        <item x="1"/>
        <item x="0"/>
        <item x="4"/>
        <item x="2"/>
        <item t="default"/>
      </items>
    </pivotField>
    <pivotField showAll="0"/>
    <pivotField showAll="0">
      <items count="5">
        <item x="2"/>
        <item x="3"/>
        <item x="1"/>
        <item x="0"/>
        <item t="default"/>
      </items>
    </pivotField>
    <pivotField showAll="0"/>
    <pivotField showAll="0"/>
    <pivotField showAll="0"/>
    <pivotField numFmtId="165" showAll="0"/>
    <pivotField numFmtId="166" showAll="0"/>
    <pivotField numFmtId="165" showAll="0"/>
    <pivotField numFmtId="165" showAll="0"/>
    <pivotField dataField="1" numFmtId="165" showAll="0"/>
    <pivotField numFmtId="165" showAll="0"/>
    <pivotField numFmtId="165" showAll="0"/>
    <pivotField numFmtId="166"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2"/>
    </i>
    <i>
      <x v="3"/>
    </i>
  </rowItems>
  <colFields count="1">
    <field x="-2"/>
  </colFields>
  <colItems count="2">
    <i>
      <x/>
    </i>
    <i i="1">
      <x v="1"/>
    </i>
  </colItems>
  <dataFields count="2">
    <dataField name="Sum of Net Revenue ($)" fld="15" baseField="0" baseItem="0" numFmtId="165"/>
    <dataField name="Sum of Net Revenue ($)2" fld="15" showDataAs="percentDiff" baseField="3" baseItem="1048828" numFmtId="10"/>
  </dataFields>
  <conditionalFormats count="1">
    <conditionalFormat type="all"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C4C4DB-C3A5-437D-B4B2-EFA38AAAA81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2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h="1" x="0"/>
        <item h="1" x="1"/>
        <item x="2"/>
        <item x="3"/>
        <item t="default"/>
      </items>
    </pivotField>
    <pivotField showAll="0"/>
    <pivotField showAll="0">
      <items count="6">
        <item x="3"/>
        <item x="1"/>
        <item x="0"/>
        <item x="4"/>
        <item x="2"/>
        <item t="default"/>
      </items>
    </pivotField>
    <pivotField showAll="0"/>
    <pivotField showAll="0">
      <items count="5">
        <item x="2"/>
        <item x="3"/>
        <item x="1"/>
        <item x="0"/>
        <item t="default"/>
      </items>
    </pivotField>
    <pivotField showAll="0"/>
    <pivotField showAll="0"/>
    <pivotField showAll="0"/>
    <pivotField numFmtId="165" showAll="0"/>
    <pivotField numFmtId="166" showAll="0"/>
    <pivotField numFmtId="165" showAll="0"/>
    <pivotField numFmtId="165" showAll="0"/>
    <pivotField numFmtId="165" showAll="0"/>
    <pivotField numFmtId="165" showAll="0"/>
    <pivotField numFmtId="165" showAll="0"/>
    <pivotField numFmtId="166"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ustomer Satisfaction" fld="2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832976-F628-41A8-A404-571E522EA297}"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K2:L8" firstHeaderRow="1" firstDataRow="1" firstDataCol="1"/>
  <pivotFields count="23">
    <pivotField showAll="0"/>
    <pivotField axis="axisRow"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h="1" x="0"/>
        <item h="1" x="1"/>
        <item x="2"/>
        <item x="3"/>
        <item t="default"/>
      </items>
    </pivotField>
    <pivotField showAll="0"/>
    <pivotField showAll="0">
      <items count="6">
        <item x="3"/>
        <item x="1"/>
        <item x="0"/>
        <item x="4"/>
        <item x="2"/>
        <item t="default"/>
      </items>
    </pivotField>
    <pivotField showAll="0"/>
    <pivotField showAll="0">
      <items count="5">
        <item x="2"/>
        <item x="3"/>
        <item x="1"/>
        <item x="0"/>
        <item t="default"/>
      </items>
    </pivotField>
    <pivotField showAll="0"/>
    <pivotField showAll="0"/>
    <pivotField showAll="0"/>
    <pivotField numFmtId="165" showAll="0"/>
    <pivotField numFmtId="166" showAll="0"/>
    <pivotField numFmtId="165" showAll="0"/>
    <pivotField numFmtId="165" showAll="0"/>
    <pivotField dataField="1" numFmtId="165" showAll="0"/>
    <pivotField numFmtId="165" showAll="0"/>
    <pivotField numFmtId="165" showAll="0"/>
    <pivotField numFmtId="166"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1"/>
  </rowFields>
  <rowItems count="6">
    <i>
      <x v="7"/>
    </i>
    <i>
      <x v="8"/>
    </i>
    <i>
      <x v="9"/>
    </i>
    <i>
      <x v="10"/>
    </i>
    <i>
      <x v="11"/>
    </i>
    <i>
      <x v="12"/>
    </i>
  </rowItems>
  <colItems count="1">
    <i/>
  </colItems>
  <dataFields count="1">
    <dataField name="Sum of Net Revenue ($)" fld="15" baseField="0" baseItem="0" numFmtId="171"/>
  </dataFields>
  <formats count="1">
    <format dxfId="127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682C54-6176-41C0-A1A9-E87B3BC98D2D}"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Q2:R6" firstHeaderRow="1" firstDataRow="1" firstDataCol="1"/>
  <pivotFields count="2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h="1" x="0"/>
        <item h="1" x="1"/>
        <item x="2"/>
        <item x="3"/>
        <item t="default"/>
      </items>
    </pivotField>
    <pivotField showAll="0"/>
    <pivotField showAll="0">
      <items count="6">
        <item x="3"/>
        <item x="1"/>
        <item x="0"/>
        <item x="4"/>
        <item x="2"/>
        <item t="default"/>
      </items>
    </pivotField>
    <pivotField showAll="0"/>
    <pivotField axis="axisRow" showAll="0">
      <items count="5">
        <item x="2"/>
        <item x="3"/>
        <item x="1"/>
        <item x="0"/>
        <item t="default"/>
      </items>
    </pivotField>
    <pivotField showAll="0"/>
    <pivotField showAll="0"/>
    <pivotField showAll="0"/>
    <pivotField numFmtId="165" showAll="0"/>
    <pivotField numFmtId="166" showAll="0"/>
    <pivotField numFmtId="165" showAll="0"/>
    <pivotField numFmtId="165" showAll="0"/>
    <pivotField dataField="1" numFmtId="165" showAll="0"/>
    <pivotField numFmtId="165" showAll="0"/>
    <pivotField numFmtId="165" showAll="0"/>
    <pivotField numFmtId="166"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x v="3"/>
    </i>
  </rowItems>
  <colItems count="1">
    <i/>
  </colItems>
  <dataFields count="1">
    <dataField name="Sum of Net Revenue ($)" fld="15" showDataAs="percentOfTotal" baseField="0" baseItem="0" numFmtId="1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7" count="1" selected="0">
            <x v="0"/>
          </reference>
        </references>
      </pivotArea>
    </chartFormat>
    <chartFormat chart="8" format="17">
      <pivotArea type="data" outline="0" fieldPosition="0">
        <references count="2">
          <reference field="4294967294" count="1" selected="0">
            <x v="0"/>
          </reference>
          <reference field="7" count="1" selected="0">
            <x v="1"/>
          </reference>
        </references>
      </pivotArea>
    </chartFormat>
    <chartFormat chart="8" format="18">
      <pivotArea type="data" outline="0" fieldPosition="0">
        <references count="2">
          <reference field="4294967294" count="1" selected="0">
            <x v="0"/>
          </reference>
          <reference field="7" count="1" selected="0">
            <x v="2"/>
          </reference>
        </references>
      </pivotArea>
    </chartFormat>
    <chartFormat chart="8" format="19">
      <pivotArea type="data" outline="0" fieldPosition="0">
        <references count="2">
          <reference field="4294967294" count="1" selected="0">
            <x v="0"/>
          </reference>
          <reference field="7" count="1" selected="0">
            <x v="3"/>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7" count="1" selected="0">
            <x v="0"/>
          </reference>
        </references>
      </pivotArea>
    </chartFormat>
    <chartFormat chart="9" format="22">
      <pivotArea type="data" outline="0" fieldPosition="0">
        <references count="2">
          <reference field="4294967294" count="1" selected="0">
            <x v="0"/>
          </reference>
          <reference field="7" count="1" selected="0">
            <x v="1"/>
          </reference>
        </references>
      </pivotArea>
    </chartFormat>
    <chartFormat chart="9" format="23">
      <pivotArea type="data" outline="0" fieldPosition="0">
        <references count="2">
          <reference field="4294967294" count="1" selected="0">
            <x v="0"/>
          </reference>
          <reference field="7" count="1" selected="0">
            <x v="2"/>
          </reference>
        </references>
      </pivotArea>
    </chartFormat>
    <chartFormat chart="9" format="24">
      <pivotArea type="data" outline="0" fieldPosition="0">
        <references count="2">
          <reference field="4294967294" count="1" selected="0">
            <x v="0"/>
          </reference>
          <reference field="7" count="1" selected="0">
            <x v="3"/>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7" count="1" selected="0">
            <x v="0"/>
          </reference>
        </references>
      </pivotArea>
    </chartFormat>
    <chartFormat chart="26" format="12">
      <pivotArea type="data" outline="0" fieldPosition="0">
        <references count="2">
          <reference field="4294967294" count="1" selected="0">
            <x v="0"/>
          </reference>
          <reference field="7" count="1" selected="0">
            <x v="1"/>
          </reference>
        </references>
      </pivotArea>
    </chartFormat>
    <chartFormat chart="26" format="13">
      <pivotArea type="data" outline="0" fieldPosition="0">
        <references count="2">
          <reference field="4294967294" count="1" selected="0">
            <x v="0"/>
          </reference>
          <reference field="7" count="1" selected="0">
            <x v="2"/>
          </reference>
        </references>
      </pivotArea>
    </chartFormat>
    <chartFormat chart="26"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B64149-1406-4131-A9F9-1A765B3012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3">
    <pivotField dataField="1"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h="1" x="0"/>
        <item h="1" x="1"/>
        <item x="2"/>
        <item x="3"/>
        <item t="default"/>
      </items>
    </pivotField>
    <pivotField showAll="0"/>
    <pivotField showAll="0">
      <items count="6">
        <item x="3"/>
        <item x="1"/>
        <item x="0"/>
        <item x="4"/>
        <item x="2"/>
        <item t="default"/>
      </items>
    </pivotField>
    <pivotField showAll="0"/>
    <pivotField showAll="0">
      <items count="5">
        <item x="2"/>
        <item x="3"/>
        <item x="1"/>
        <item x="0"/>
        <item t="default"/>
      </items>
    </pivotField>
    <pivotField showAll="0"/>
    <pivotField showAll="0"/>
    <pivotField showAll="0"/>
    <pivotField numFmtId="165" showAll="0"/>
    <pivotField numFmtId="166" showAll="0"/>
    <pivotField numFmtId="165" showAll="0"/>
    <pivotField numFmtId="165" showAll="0"/>
    <pivotField dataField="1" numFmtId="165" showAll="0"/>
    <pivotField numFmtId="165" showAll="0"/>
    <pivotField dataField="1" numFmtId="165" showAll="0"/>
    <pivotField numFmtId="166"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Net Revenue ($)" fld="15" baseField="0" baseItem="0" numFmtId="170"/>
    <dataField name="Sum of Gross Profit ($)" fld="17" baseField="0" baseItem="0" numFmtId="165"/>
    <dataField name="Count of Order ID" fld="0" subtotal="count" baseField="0" baseItem="3"/>
  </dataFields>
  <formats count="6">
    <format dxfId="1284">
      <pivotArea outline="0" collapsedLevelsAreSubtotals="1" fieldPosition="0">
        <references count="1">
          <reference field="4294967294" count="1" selected="0">
            <x v="0"/>
          </reference>
        </references>
      </pivotArea>
    </format>
    <format dxfId="1283">
      <pivotArea outline="0" collapsedLevelsAreSubtotals="1" fieldPosition="0">
        <references count="1">
          <reference field="4294967294" count="1" selected="0">
            <x v="0"/>
          </reference>
        </references>
      </pivotArea>
    </format>
    <format dxfId="1282">
      <pivotArea outline="0" fieldPosition="0">
        <references count="1">
          <reference field="4294967294" count="1">
            <x v="0"/>
          </reference>
        </references>
      </pivotArea>
    </format>
    <format dxfId="1281">
      <pivotArea outline="0" collapsedLevelsAreSubtotals="1" fieldPosition="0">
        <references count="1">
          <reference field="4294967294" count="1" selected="0">
            <x v="0"/>
          </reference>
        </references>
      </pivotArea>
    </format>
    <format dxfId="1280">
      <pivotArea outline="0" collapsedLevelsAreSubtotals="1" fieldPosition="0">
        <references count="1">
          <reference field="4294967294" count="1" selected="0">
            <x v="0"/>
          </reference>
        </references>
      </pivotArea>
    </format>
    <format dxfId="127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D39E92-EF1C-4290-8281-E8952BCE53A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h="1" x="0"/>
        <item h="1" x="1"/>
        <item x="2"/>
        <item x="3"/>
        <item t="default"/>
      </items>
    </pivotField>
    <pivotField showAll="0"/>
    <pivotField showAll="0">
      <items count="6">
        <item x="3"/>
        <item x="1"/>
        <item x="0"/>
        <item x="4"/>
        <item x="2"/>
        <item t="default"/>
      </items>
    </pivotField>
    <pivotField showAll="0"/>
    <pivotField showAll="0">
      <items count="5">
        <item x="2"/>
        <item x="3"/>
        <item x="1"/>
        <item x="0"/>
        <item t="default"/>
      </items>
    </pivotField>
    <pivotField showAll="0"/>
    <pivotField showAll="0"/>
    <pivotField showAll="0"/>
    <pivotField numFmtId="165" showAll="0"/>
    <pivotField dataField="1" numFmtId="166" showAll="0"/>
    <pivotField numFmtId="165" showAll="0"/>
    <pivotField numFmtId="165" showAll="0"/>
    <pivotField numFmtId="165" showAll="0"/>
    <pivotField numFmtId="165" showAll="0"/>
    <pivotField numFmtId="165" showAll="0"/>
    <pivotField numFmtId="166"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Discount %" fld="12"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11F075-B1A0-4C9C-8236-A6E307A8698F}"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2:F7" firstHeaderRow="1" firstDataRow="1" firstDataCol="1"/>
  <pivotFields count="2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h="1" x="0"/>
        <item h="1" x="1"/>
        <item x="2"/>
        <item x="3"/>
        <item t="default"/>
      </items>
    </pivotField>
    <pivotField showAll="0"/>
    <pivotField axis="axisRow" showAll="0">
      <items count="6">
        <item x="3"/>
        <item x="1"/>
        <item x="0"/>
        <item x="4"/>
        <item x="2"/>
        <item t="default"/>
      </items>
    </pivotField>
    <pivotField showAll="0"/>
    <pivotField showAll="0">
      <items count="5">
        <item x="2"/>
        <item x="3"/>
        <item x="1"/>
        <item x="0"/>
        <item t="default"/>
      </items>
    </pivotField>
    <pivotField showAll="0"/>
    <pivotField showAll="0"/>
    <pivotField showAll="0"/>
    <pivotField numFmtId="165" showAll="0"/>
    <pivotField numFmtId="166" showAll="0"/>
    <pivotField numFmtId="165" showAll="0"/>
    <pivotField numFmtId="165" showAll="0"/>
    <pivotField dataField="1" numFmtId="165" showAll="0"/>
    <pivotField numFmtId="165" showAll="0"/>
    <pivotField numFmtId="165" showAll="0"/>
    <pivotField numFmtId="166"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x v="4"/>
    </i>
  </rowItems>
  <colItems count="1">
    <i/>
  </colItems>
  <dataFields count="1">
    <dataField name="Sum of Net Revenue ($)"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248E4E-6D8E-435F-9CE8-21BF08EFA6FC}"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N2:O7" firstHeaderRow="1" firstDataRow="1" firstDataCol="1"/>
  <pivotFields count="2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h="1" x="0"/>
        <item h="1" x="1"/>
        <item x="2"/>
        <item x="3"/>
        <item t="default"/>
      </items>
    </pivotField>
    <pivotField showAll="0"/>
    <pivotField axis="axisRow" showAll="0">
      <items count="6">
        <item x="3"/>
        <item x="1"/>
        <item x="0"/>
        <item x="4"/>
        <item x="2"/>
        <item t="default"/>
      </items>
    </pivotField>
    <pivotField showAll="0"/>
    <pivotField showAll="0">
      <items count="5">
        <item x="2"/>
        <item x="3"/>
        <item x="1"/>
        <item x="0"/>
        <item t="default"/>
      </items>
    </pivotField>
    <pivotField showAll="0"/>
    <pivotField showAll="0"/>
    <pivotField showAll="0"/>
    <pivotField numFmtId="165" showAll="0"/>
    <pivotField numFmtId="166" showAll="0"/>
    <pivotField numFmtId="165" showAll="0"/>
    <pivotField numFmtId="165" showAll="0"/>
    <pivotField dataField="1" numFmtId="165" showAll="0"/>
    <pivotField numFmtId="165" showAll="0"/>
    <pivotField numFmtId="165" showAll="0"/>
    <pivotField numFmtId="166"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x v="4"/>
    </i>
  </rowItems>
  <colItems count="1">
    <i/>
  </colItems>
  <dataFields count="1">
    <dataField name="Sum of Net Revenue ($)" fld="15" baseField="0" baseItem="0" numFmtId="171"/>
  </dataFields>
  <formats count="2">
    <format dxfId="1287">
      <pivotArea outline="0" collapsedLevelsAreSubtotals="1" fieldPosition="0"/>
    </format>
    <format dxfId="128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9B495A2-F26B-425D-8AD8-0186BE1943B6}" sourceName="Channel">
  <pivotTables>
    <pivotTable tabId="3" name="PivotTable17"/>
    <pivotTable tabId="3" name="PivotTable1"/>
    <pivotTable tabId="3" name="PivotTable13"/>
    <pivotTable tabId="3" name="PivotTable14"/>
    <pivotTable tabId="3" name="PivotTable15"/>
    <pivotTable tabId="3" name="PivotTable16"/>
    <pivotTable tabId="3" name="PivotTable18"/>
    <pivotTable tabId="3" name="PivotTable19"/>
    <pivotTable tabId="3" name="PivotTable20"/>
    <pivotTable tabId="3" name="PivotTable21"/>
    <pivotTable tabId="3" name="PivotTable22"/>
  </pivotTables>
  <data>
    <tabular pivotCacheId="1518905926">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1DB55C0F-B20E-43C7-B87D-5BD2D159CC07}" sourceName="Quarter">
  <pivotTables>
    <pivotTable tabId="3" name="PivotTable22"/>
    <pivotTable tabId="3" name="PivotTable20"/>
    <pivotTable tabId="3" name="PivotTable19"/>
    <pivotTable tabId="3" name="PivotTable18"/>
    <pivotTable tabId="3" name="PivotTable17"/>
    <pivotTable tabId="3" name="PivotTable16"/>
    <pivotTable tabId="3" name="PivotTable15"/>
    <pivotTable tabId="3" name="PivotTable14"/>
    <pivotTable tabId="3" name="PivotTable13"/>
    <pivotTable tabId="3" name="PivotTable1"/>
    <pivotTable tabId="3" name="PivotTable21"/>
  </pivotTables>
  <data>
    <tabular pivotCacheId="1518905926">
      <items count="4">
        <i x="0"/>
        <i x="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40F7161-8C56-42F7-A5F5-FD04BE69EE44}" sourceName="Region">
  <pivotTables>
    <pivotTable tabId="3" name="PivotTable22"/>
    <pivotTable tabId="3" name="PivotTable21"/>
    <pivotTable tabId="3" name="PivotTable20"/>
    <pivotTable tabId="3" name="PivotTable19"/>
    <pivotTable tabId="3" name="PivotTable18"/>
    <pivotTable tabId="3" name="PivotTable16"/>
    <pivotTable tabId="3" name="PivotTable15"/>
    <pivotTable tabId="3" name="PivotTable14"/>
    <pivotTable tabId="3" name="PivotTable13"/>
    <pivotTable tabId="3" name="PivotTable1"/>
    <pivotTable tabId="3" name="PivotTable17"/>
  </pivotTables>
  <data>
    <tabular pivotCacheId="1518905926">
      <items count="5">
        <i x="3"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7A7C0B0F-E0FB-40D3-A908-B594A4679E98}" cache="Slicer_Channel" caption="Channel" style="SlicerStyleLight1" rowHeight="234950"/>
  <slicer name="Quarter 1" xr10:uid="{00D76070-BA27-411C-8B8F-FC3D8C492096}" cache="Slicer_Quarter1" caption="Quarter" style="SlicerStyleLight1" rowHeight="234950"/>
  <slicer name="Region" xr10:uid="{310CB25F-5BD0-4C7F-8F41-8424E420E468}" cache="Slicer_Region1" caption="Region"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B7A86696-671B-431C-8CD2-47089B6760B2}" cache="Slicer_Channel" caption="Channel" rowHeight="234950"/>
  <slicer name="Quarter 3" xr10:uid="{932BA11F-B09C-4101-B35B-D3287E43E1A5}" cache="Slicer_Quarter1" caption="Quarter" columnCount="2" rowHeight="360000"/>
  <slicer name="Region 2" xr10:uid="{F6A49A5B-AAD7-41E2-A2F2-F9C41E6DA221}" cache="Slicer_Region1" caption="Region"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4805A9-0D2D-4F31-A0BA-7E32F2C22B79}" name="Table1" displayName="Table1" ref="A1:U1001" totalsRowShown="0" headerRowDxfId="1269" dataDxfId="1267" headerRowBorderDxfId="1268" tableBorderDxfId="1266" totalsRowBorderDxfId="1265">
  <autoFilter ref="A1:U1001" xr:uid="{D14805A9-0D2D-4F31-A0BA-7E32F2C22B79}"/>
  <tableColumns count="21">
    <tableColumn id="1" xr3:uid="{E79D3462-49FB-434B-AA50-0829C62A406E}" name="Order ID" dataDxfId="1264"/>
    <tableColumn id="25" xr3:uid="{F27D4482-1D59-4B2A-A572-900B4CBE0122}" name="Date" dataDxfId="1263"/>
    <tableColumn id="3" xr3:uid="{253C7045-57A2-4905-BD03-8890E95A9087}" name="Month" dataDxfId="1262"/>
    <tableColumn id="23" xr3:uid="{A5B7ACA4-0DE0-4FF9-8972-4A92819F5F4D}" name="Quarter" dataDxfId="1261"/>
    <tableColumn id="22" xr3:uid="{B7AE8E95-B603-4F32-93FA-F7034DCF222B}" name="Year" dataDxfId="1260"/>
    <tableColumn id="5" xr3:uid="{BD75C77B-25C7-4D21-A98B-367BCCDA0469}" name="Region" dataDxfId="1259"/>
    <tableColumn id="6" xr3:uid="{D932F1AE-0C26-4877-9774-8BB8B8150740}" name="Sales Rep" dataDxfId="1258"/>
    <tableColumn id="7" xr3:uid="{80F58B47-C99F-4E61-90DB-FF61ECDF2E01}" name="Channel" dataDxfId="1257"/>
    <tableColumn id="8" xr3:uid="{813B086B-C334-4A32-A301-0BBC84A0C2E5}" name="Category" dataDxfId="1256"/>
    <tableColumn id="9" xr3:uid="{82D44695-25E8-44FF-A11E-A68685E75812}" name="Product" dataDxfId="1255"/>
    <tableColumn id="10" xr3:uid="{8A8BF191-A454-4140-B09C-8CDB8FE22935}" name="Quantity" dataDxfId="1254"/>
    <tableColumn id="11" xr3:uid="{24F0A677-A3D3-45F5-AEA9-07894808AF95}" name="Unit Price ($)" dataDxfId="1253"/>
    <tableColumn id="12" xr3:uid="{BC143DF9-2C0F-458C-8DD2-03CAE4FFBD08}" name="Discount %" dataDxfId="1252"/>
    <tableColumn id="13" xr3:uid="{5CB5C55F-2FAD-4DEC-B982-FD4982FE8C96}" name="Gross Revenue ($)" dataDxfId="1251"/>
    <tableColumn id="14" xr3:uid="{2BD16050-D115-4492-89C6-86B4B891F539}" name="Discount Amount ($)" dataDxfId="1250"/>
    <tableColumn id="15" xr3:uid="{CE1D70FA-A2F2-42A6-A946-2B83921AA552}" name="Net Revenue ($)" dataDxfId="1249"/>
    <tableColumn id="16" xr3:uid="{DA056E6C-97E3-461C-9691-2177ECC5484C}" name="COGS ($)" dataDxfId="1248"/>
    <tableColumn id="17" xr3:uid="{31E42B76-6FF6-4641-B894-3434340A6ED9}" name="Gross Profit ($)" dataDxfId="1247"/>
    <tableColumn id="18" xr3:uid="{FA0318FC-F8A5-4557-B85D-1CF2EA014A45}" name="Gross Margin %" dataDxfId="1246"/>
    <tableColumn id="19" xr3:uid="{3BA5F357-C067-478B-8C9E-703606FB74B1}" name="Status" dataDxfId="1245"/>
    <tableColumn id="20" xr3:uid="{1A36E738-92A0-4072-896C-BA45C743C993}" name="Customer Satisfaction" dataDxfId="124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zoomScaleNormal="100" workbookViewId="0">
      <pane ySplit="1" topLeftCell="A2" activePane="bottomLeft" state="frozen"/>
      <selection pane="bottomLeft" activeCell="U3" sqref="U3"/>
    </sheetView>
  </sheetViews>
  <sheetFormatPr defaultRowHeight="14.4" x14ac:dyDescent="0.3"/>
  <cols>
    <col min="1" max="2" width="14" customWidth="1"/>
    <col min="3" max="3" width="12" customWidth="1"/>
    <col min="4" max="6" width="10" customWidth="1"/>
    <col min="7" max="7" width="18" customWidth="1"/>
    <col min="8" max="8" width="14" customWidth="1"/>
    <col min="9" max="9" width="16" customWidth="1"/>
    <col min="10" max="10" width="20" customWidth="1"/>
    <col min="11" max="11" width="10.33203125" customWidth="1"/>
    <col min="12" max="12" width="14.33203125" style="35" customWidth="1"/>
    <col min="13" max="13" width="13" customWidth="1"/>
    <col min="14" max="14" width="19.21875" style="35" customWidth="1"/>
    <col min="15" max="15" width="20.88671875" style="35" customWidth="1"/>
    <col min="16" max="16" width="16.88671875" style="56" customWidth="1"/>
    <col min="17" max="17" width="12" style="35" customWidth="1"/>
    <col min="18" max="18" width="16.44140625" style="35" customWidth="1"/>
    <col min="19" max="19" width="17" customWidth="1"/>
    <col min="20" max="20" width="12" customWidth="1"/>
    <col min="21" max="21" width="22.21875" customWidth="1"/>
  </cols>
  <sheetData>
    <row r="1" spans="1:21" ht="22.05" customHeight="1" x14ac:dyDescent="0.3">
      <c r="A1" s="17" t="s">
        <v>0</v>
      </c>
      <c r="B1" s="48" t="s">
        <v>1</v>
      </c>
      <c r="C1" s="18" t="s">
        <v>2</v>
      </c>
      <c r="D1" s="44" t="s">
        <v>3</v>
      </c>
      <c r="E1" s="44" t="s">
        <v>1377</v>
      </c>
      <c r="F1" s="18" t="s">
        <v>4</v>
      </c>
      <c r="G1" s="59" t="s">
        <v>5</v>
      </c>
      <c r="H1" s="18" t="s">
        <v>6</v>
      </c>
      <c r="I1" s="18" t="s">
        <v>7</v>
      </c>
      <c r="J1" s="18" t="s">
        <v>8</v>
      </c>
      <c r="K1" s="18" t="s">
        <v>9</v>
      </c>
      <c r="L1" s="36" t="s">
        <v>10</v>
      </c>
      <c r="M1" s="18" t="s">
        <v>11</v>
      </c>
      <c r="N1" s="36" t="s">
        <v>12</v>
      </c>
      <c r="O1" s="36" t="s">
        <v>13</v>
      </c>
      <c r="P1" s="52" t="s">
        <v>14</v>
      </c>
      <c r="Q1" s="36" t="s">
        <v>15</v>
      </c>
      <c r="R1" s="36" t="s">
        <v>16</v>
      </c>
      <c r="S1" s="18" t="s">
        <v>17</v>
      </c>
      <c r="T1" s="18" t="s">
        <v>18</v>
      </c>
      <c r="U1" s="19" t="s">
        <v>19</v>
      </c>
    </row>
    <row r="2" spans="1:21" x14ac:dyDescent="0.3">
      <c r="A2" s="13" t="s">
        <v>20</v>
      </c>
      <c r="B2" s="45">
        <v>45292</v>
      </c>
      <c r="C2" s="1" t="s">
        <v>21</v>
      </c>
      <c r="D2" s="41" t="s">
        <v>1373</v>
      </c>
      <c r="E2" s="1">
        <v>2024</v>
      </c>
      <c r="F2" s="1" t="s">
        <v>22</v>
      </c>
      <c r="G2" s="60" t="s">
        <v>23</v>
      </c>
      <c r="H2" s="2" t="s">
        <v>24</v>
      </c>
      <c r="I2" s="2" t="s">
        <v>25</v>
      </c>
      <c r="J2" s="2" t="s">
        <v>26</v>
      </c>
      <c r="K2" s="1">
        <v>11</v>
      </c>
      <c r="L2" s="37">
        <v>126.35</v>
      </c>
      <c r="M2" s="3">
        <v>0</v>
      </c>
      <c r="N2" s="37">
        <v>1389.85</v>
      </c>
      <c r="O2" s="37">
        <v>0</v>
      </c>
      <c r="P2" s="53">
        <v>1389.85</v>
      </c>
      <c r="Q2" s="37">
        <v>809</v>
      </c>
      <c r="R2" s="37">
        <v>580.85</v>
      </c>
      <c r="S2" s="3">
        <v>41.8</v>
      </c>
      <c r="T2" s="1" t="s">
        <v>27</v>
      </c>
      <c r="U2" s="15">
        <v>1</v>
      </c>
    </row>
    <row r="3" spans="1:21" x14ac:dyDescent="0.3">
      <c r="A3" s="14" t="s">
        <v>28</v>
      </c>
      <c r="B3" s="46">
        <v>45292</v>
      </c>
      <c r="C3" s="4" t="s">
        <v>21</v>
      </c>
      <c r="D3" s="42" t="s">
        <v>1373</v>
      </c>
      <c r="E3" s="4">
        <v>2024</v>
      </c>
      <c r="F3" s="4" t="s">
        <v>29</v>
      </c>
      <c r="G3" s="61" t="s">
        <v>30</v>
      </c>
      <c r="H3" s="5" t="s">
        <v>24</v>
      </c>
      <c r="I3" s="5" t="s">
        <v>31</v>
      </c>
      <c r="J3" s="5" t="s">
        <v>32</v>
      </c>
      <c r="K3" s="4">
        <v>18</v>
      </c>
      <c r="L3" s="38">
        <v>31.97</v>
      </c>
      <c r="M3" s="6">
        <v>0</v>
      </c>
      <c r="N3" s="38">
        <v>575.46</v>
      </c>
      <c r="O3" s="38">
        <v>0</v>
      </c>
      <c r="P3" s="54">
        <v>575.46</v>
      </c>
      <c r="Q3" s="38">
        <v>350.73</v>
      </c>
      <c r="R3" s="38">
        <v>224.73</v>
      </c>
      <c r="S3" s="6">
        <v>39.1</v>
      </c>
      <c r="T3" s="4" t="s">
        <v>33</v>
      </c>
      <c r="U3" s="16">
        <v>5</v>
      </c>
    </row>
    <row r="4" spans="1:21" x14ac:dyDescent="0.3">
      <c r="A4" s="13" t="s">
        <v>34</v>
      </c>
      <c r="B4" s="45">
        <v>45292</v>
      </c>
      <c r="C4" s="1" t="s">
        <v>21</v>
      </c>
      <c r="D4" s="41" t="s">
        <v>1373</v>
      </c>
      <c r="E4" s="1">
        <v>2024</v>
      </c>
      <c r="F4" s="1" t="s">
        <v>35</v>
      </c>
      <c r="G4" s="60" t="s">
        <v>36</v>
      </c>
      <c r="H4" s="2" t="s">
        <v>37</v>
      </c>
      <c r="I4" s="2" t="s">
        <v>38</v>
      </c>
      <c r="J4" s="2" t="s">
        <v>39</v>
      </c>
      <c r="K4" s="1">
        <v>14</v>
      </c>
      <c r="L4" s="37">
        <v>73.290000000000006</v>
      </c>
      <c r="M4" s="3">
        <v>5</v>
      </c>
      <c r="N4" s="37">
        <v>1026.06</v>
      </c>
      <c r="O4" s="37">
        <v>51.3</v>
      </c>
      <c r="P4" s="53">
        <v>974.76</v>
      </c>
      <c r="Q4" s="37">
        <v>465.22</v>
      </c>
      <c r="R4" s="37">
        <v>509.54</v>
      </c>
      <c r="S4" s="3">
        <v>52.3</v>
      </c>
      <c r="T4" s="1" t="s">
        <v>27</v>
      </c>
      <c r="U4" s="15">
        <v>4</v>
      </c>
    </row>
    <row r="5" spans="1:21" x14ac:dyDescent="0.3">
      <c r="A5" s="14" t="s">
        <v>40</v>
      </c>
      <c r="B5" s="46">
        <v>45293</v>
      </c>
      <c r="C5" s="4" t="s">
        <v>21</v>
      </c>
      <c r="D5" s="42" t="s">
        <v>1373</v>
      </c>
      <c r="E5" s="4">
        <v>2024</v>
      </c>
      <c r="F5" s="4" t="s">
        <v>41</v>
      </c>
      <c r="G5" s="61" t="s">
        <v>42</v>
      </c>
      <c r="H5" s="5" t="s">
        <v>24</v>
      </c>
      <c r="I5" s="5" t="s">
        <v>31</v>
      </c>
      <c r="J5" s="5" t="s">
        <v>43</v>
      </c>
      <c r="K5" s="4">
        <v>15</v>
      </c>
      <c r="L5" s="38">
        <v>166.09</v>
      </c>
      <c r="M5" s="6">
        <v>0</v>
      </c>
      <c r="N5" s="38">
        <v>2491.35</v>
      </c>
      <c r="O5" s="38">
        <v>0</v>
      </c>
      <c r="P5" s="54">
        <v>2491.35</v>
      </c>
      <c r="Q5" s="38">
        <v>949.65</v>
      </c>
      <c r="R5" s="38">
        <v>1541.7</v>
      </c>
      <c r="S5" s="6">
        <v>61.9</v>
      </c>
      <c r="T5" s="4" t="s">
        <v>44</v>
      </c>
      <c r="U5" s="16">
        <v>2</v>
      </c>
    </row>
    <row r="6" spans="1:21" x14ac:dyDescent="0.3">
      <c r="A6" s="13" t="s">
        <v>45</v>
      </c>
      <c r="B6" s="45">
        <v>45293</v>
      </c>
      <c r="C6" s="1" t="s">
        <v>21</v>
      </c>
      <c r="D6" s="41" t="s">
        <v>1373</v>
      </c>
      <c r="E6" s="1">
        <v>2024</v>
      </c>
      <c r="F6" s="1" t="s">
        <v>41</v>
      </c>
      <c r="G6" s="60" t="s">
        <v>46</v>
      </c>
      <c r="H6" s="2" t="s">
        <v>37</v>
      </c>
      <c r="I6" s="2" t="s">
        <v>47</v>
      </c>
      <c r="J6" s="2" t="s">
        <v>48</v>
      </c>
      <c r="K6" s="1">
        <v>8</v>
      </c>
      <c r="L6" s="37">
        <v>444.62</v>
      </c>
      <c r="M6" s="3">
        <v>0</v>
      </c>
      <c r="N6" s="37">
        <v>3556.96</v>
      </c>
      <c r="O6" s="37">
        <v>0</v>
      </c>
      <c r="P6" s="53">
        <v>3556.96</v>
      </c>
      <c r="Q6" s="37">
        <v>1818.77</v>
      </c>
      <c r="R6" s="37">
        <v>1738.19</v>
      </c>
      <c r="S6" s="3">
        <v>48.9</v>
      </c>
      <c r="T6" s="1" t="s">
        <v>33</v>
      </c>
      <c r="U6" s="15">
        <v>1</v>
      </c>
    </row>
    <row r="7" spans="1:21" x14ac:dyDescent="0.3">
      <c r="A7" s="14" t="s">
        <v>49</v>
      </c>
      <c r="B7" s="46">
        <v>45293</v>
      </c>
      <c r="C7" s="4" t="s">
        <v>21</v>
      </c>
      <c r="D7" s="42" t="s">
        <v>1373</v>
      </c>
      <c r="E7" s="4">
        <v>2024</v>
      </c>
      <c r="F7" s="4" t="s">
        <v>22</v>
      </c>
      <c r="G7" s="61" t="s">
        <v>42</v>
      </c>
      <c r="H7" s="5" t="s">
        <v>50</v>
      </c>
      <c r="I7" s="5" t="s">
        <v>31</v>
      </c>
      <c r="J7" s="5" t="s">
        <v>51</v>
      </c>
      <c r="K7" s="4">
        <v>13</v>
      </c>
      <c r="L7" s="38">
        <v>187.14</v>
      </c>
      <c r="M7" s="6">
        <v>15</v>
      </c>
      <c r="N7" s="38">
        <v>2432.8200000000002</v>
      </c>
      <c r="O7" s="38">
        <v>364.92</v>
      </c>
      <c r="P7" s="54">
        <v>2067.9</v>
      </c>
      <c r="Q7" s="38">
        <v>1159.73</v>
      </c>
      <c r="R7" s="38">
        <v>908.17</v>
      </c>
      <c r="S7" s="6">
        <v>43.9</v>
      </c>
      <c r="T7" s="4" t="s">
        <v>44</v>
      </c>
      <c r="U7" s="16">
        <v>2</v>
      </c>
    </row>
    <row r="8" spans="1:21" x14ac:dyDescent="0.3">
      <c r="A8" s="13" t="s">
        <v>52</v>
      </c>
      <c r="B8" s="45">
        <v>45293</v>
      </c>
      <c r="C8" s="1" t="s">
        <v>21</v>
      </c>
      <c r="D8" s="41" t="s">
        <v>1373</v>
      </c>
      <c r="E8" s="1">
        <v>2024</v>
      </c>
      <c r="F8" s="1" t="s">
        <v>53</v>
      </c>
      <c r="G8" s="60" t="s">
        <v>54</v>
      </c>
      <c r="H8" s="2" t="s">
        <v>37</v>
      </c>
      <c r="I8" s="2" t="s">
        <v>55</v>
      </c>
      <c r="J8" s="2" t="s">
        <v>56</v>
      </c>
      <c r="K8" s="1">
        <v>6</v>
      </c>
      <c r="L8" s="37">
        <v>527.13</v>
      </c>
      <c r="M8" s="3">
        <v>0</v>
      </c>
      <c r="N8" s="37">
        <v>3162.78</v>
      </c>
      <c r="O8" s="37">
        <v>0</v>
      </c>
      <c r="P8" s="53">
        <v>3162.78</v>
      </c>
      <c r="Q8" s="37">
        <v>2033.25</v>
      </c>
      <c r="R8" s="37">
        <v>1129.53</v>
      </c>
      <c r="S8" s="3">
        <v>35.700000000000003</v>
      </c>
      <c r="T8" s="1" t="s">
        <v>44</v>
      </c>
      <c r="U8" s="15">
        <v>1</v>
      </c>
    </row>
    <row r="9" spans="1:21" x14ac:dyDescent="0.3">
      <c r="A9" s="14" t="s">
        <v>57</v>
      </c>
      <c r="B9" s="46">
        <v>45294</v>
      </c>
      <c r="C9" s="4" t="s">
        <v>21</v>
      </c>
      <c r="D9" s="42" t="s">
        <v>1373</v>
      </c>
      <c r="E9" s="4">
        <v>2024</v>
      </c>
      <c r="F9" s="4" t="s">
        <v>53</v>
      </c>
      <c r="G9" s="61" t="s">
        <v>58</v>
      </c>
      <c r="H9" s="5" t="s">
        <v>59</v>
      </c>
      <c r="I9" s="5" t="s">
        <v>55</v>
      </c>
      <c r="J9" s="5" t="s">
        <v>60</v>
      </c>
      <c r="K9" s="4">
        <v>6</v>
      </c>
      <c r="L9" s="38">
        <v>505.92</v>
      </c>
      <c r="M9" s="6">
        <v>0</v>
      </c>
      <c r="N9" s="38">
        <v>3035.52</v>
      </c>
      <c r="O9" s="38">
        <v>0</v>
      </c>
      <c r="P9" s="54">
        <v>3035.52</v>
      </c>
      <c r="Q9" s="38">
        <v>1768.38</v>
      </c>
      <c r="R9" s="38">
        <v>1267.1400000000001</v>
      </c>
      <c r="S9" s="6">
        <v>41.7</v>
      </c>
      <c r="T9" s="4" t="s">
        <v>27</v>
      </c>
      <c r="U9" s="16">
        <v>2</v>
      </c>
    </row>
    <row r="10" spans="1:21" x14ac:dyDescent="0.3">
      <c r="A10" s="13" t="s">
        <v>61</v>
      </c>
      <c r="B10" s="45">
        <v>45295</v>
      </c>
      <c r="C10" s="1" t="s">
        <v>21</v>
      </c>
      <c r="D10" s="41" t="s">
        <v>1373</v>
      </c>
      <c r="E10" s="1">
        <v>2024</v>
      </c>
      <c r="F10" s="1" t="s">
        <v>41</v>
      </c>
      <c r="G10" s="60" t="s">
        <v>36</v>
      </c>
      <c r="H10" s="2" t="s">
        <v>37</v>
      </c>
      <c r="I10" s="2" t="s">
        <v>31</v>
      </c>
      <c r="J10" s="2" t="s">
        <v>62</v>
      </c>
      <c r="K10" s="1">
        <v>14</v>
      </c>
      <c r="L10" s="37">
        <v>84.18</v>
      </c>
      <c r="M10" s="3">
        <v>0</v>
      </c>
      <c r="N10" s="37">
        <v>1178.52</v>
      </c>
      <c r="O10" s="37">
        <v>0</v>
      </c>
      <c r="P10" s="53">
        <v>1178.52</v>
      </c>
      <c r="Q10" s="37">
        <v>641.08000000000004</v>
      </c>
      <c r="R10" s="37">
        <v>537.44000000000005</v>
      </c>
      <c r="S10" s="3">
        <v>45.6</v>
      </c>
      <c r="T10" s="1" t="s">
        <v>44</v>
      </c>
      <c r="U10" s="15">
        <v>4</v>
      </c>
    </row>
    <row r="11" spans="1:21" x14ac:dyDescent="0.3">
      <c r="A11" s="14" t="s">
        <v>63</v>
      </c>
      <c r="B11" s="46">
        <v>45295</v>
      </c>
      <c r="C11" s="4" t="s">
        <v>21</v>
      </c>
      <c r="D11" s="42" t="s">
        <v>1373</v>
      </c>
      <c r="E11" s="4">
        <v>2024</v>
      </c>
      <c r="F11" s="4" t="s">
        <v>35</v>
      </c>
      <c r="G11" s="61" t="s">
        <v>30</v>
      </c>
      <c r="H11" s="5" t="s">
        <v>37</v>
      </c>
      <c r="I11" s="5" t="s">
        <v>47</v>
      </c>
      <c r="J11" s="5" t="s">
        <v>64</v>
      </c>
      <c r="K11" s="4">
        <v>13</v>
      </c>
      <c r="L11" s="38">
        <v>205.36</v>
      </c>
      <c r="M11" s="6">
        <v>20</v>
      </c>
      <c r="N11" s="38">
        <v>2669.68</v>
      </c>
      <c r="O11" s="38">
        <v>533.94000000000005</v>
      </c>
      <c r="P11" s="54">
        <v>2135.7399999999998</v>
      </c>
      <c r="Q11" s="38">
        <v>1349.63</v>
      </c>
      <c r="R11" s="38">
        <v>786.11</v>
      </c>
      <c r="S11" s="6">
        <v>36.799999999999997</v>
      </c>
      <c r="T11" s="4" t="s">
        <v>44</v>
      </c>
      <c r="U11" s="16">
        <v>4</v>
      </c>
    </row>
    <row r="12" spans="1:21" x14ac:dyDescent="0.3">
      <c r="A12" s="13" t="s">
        <v>65</v>
      </c>
      <c r="B12" s="45">
        <v>45295</v>
      </c>
      <c r="C12" s="1" t="s">
        <v>21</v>
      </c>
      <c r="D12" s="41" t="s">
        <v>1373</v>
      </c>
      <c r="E12" s="1">
        <v>2024</v>
      </c>
      <c r="F12" s="1" t="s">
        <v>41</v>
      </c>
      <c r="G12" s="60" t="s">
        <v>66</v>
      </c>
      <c r="H12" s="2" t="s">
        <v>59</v>
      </c>
      <c r="I12" s="2" t="s">
        <v>25</v>
      </c>
      <c r="J12" s="2" t="s">
        <v>67</v>
      </c>
      <c r="K12" s="1">
        <v>1</v>
      </c>
      <c r="L12" s="37">
        <v>21.42</v>
      </c>
      <c r="M12" s="3">
        <v>5</v>
      </c>
      <c r="N12" s="37">
        <v>21.42</v>
      </c>
      <c r="O12" s="37">
        <v>1.07</v>
      </c>
      <c r="P12" s="53">
        <v>20.350000000000001</v>
      </c>
      <c r="Q12" s="37">
        <v>11.68</v>
      </c>
      <c r="R12" s="37">
        <v>8.67</v>
      </c>
      <c r="S12" s="3">
        <v>42.6</v>
      </c>
      <c r="T12" s="1" t="s">
        <v>44</v>
      </c>
      <c r="U12" s="15">
        <v>2</v>
      </c>
    </row>
    <row r="13" spans="1:21" x14ac:dyDescent="0.3">
      <c r="A13" s="14" t="s">
        <v>68</v>
      </c>
      <c r="B13" s="46">
        <v>45296</v>
      </c>
      <c r="C13" s="4" t="s">
        <v>21</v>
      </c>
      <c r="D13" s="42" t="s">
        <v>1373</v>
      </c>
      <c r="E13" s="4">
        <v>2024</v>
      </c>
      <c r="F13" s="4" t="s">
        <v>22</v>
      </c>
      <c r="G13" s="61" t="s">
        <v>54</v>
      </c>
      <c r="H13" s="5" t="s">
        <v>37</v>
      </c>
      <c r="I13" s="5" t="s">
        <v>38</v>
      </c>
      <c r="J13" s="5" t="s">
        <v>69</v>
      </c>
      <c r="K13" s="4">
        <v>20</v>
      </c>
      <c r="L13" s="38">
        <v>21.84</v>
      </c>
      <c r="M13" s="6">
        <v>10</v>
      </c>
      <c r="N13" s="38">
        <v>436.8</v>
      </c>
      <c r="O13" s="38">
        <v>43.68</v>
      </c>
      <c r="P13" s="54">
        <v>393.12</v>
      </c>
      <c r="Q13" s="38">
        <v>155.72999999999999</v>
      </c>
      <c r="R13" s="38">
        <v>237.39</v>
      </c>
      <c r="S13" s="6">
        <v>60.4</v>
      </c>
      <c r="T13" s="4" t="s">
        <v>44</v>
      </c>
      <c r="U13" s="16">
        <v>3</v>
      </c>
    </row>
    <row r="14" spans="1:21" x14ac:dyDescent="0.3">
      <c r="A14" s="13" t="s">
        <v>70</v>
      </c>
      <c r="B14" s="45">
        <v>45296</v>
      </c>
      <c r="C14" s="1" t="s">
        <v>21</v>
      </c>
      <c r="D14" s="41" t="s">
        <v>1373</v>
      </c>
      <c r="E14" s="1">
        <v>2024</v>
      </c>
      <c r="F14" s="1" t="s">
        <v>22</v>
      </c>
      <c r="G14" s="60" t="s">
        <v>46</v>
      </c>
      <c r="H14" s="2" t="s">
        <v>24</v>
      </c>
      <c r="I14" s="2" t="s">
        <v>25</v>
      </c>
      <c r="J14" s="2" t="s">
        <v>71</v>
      </c>
      <c r="K14" s="1">
        <v>7</v>
      </c>
      <c r="L14" s="37">
        <v>54.62</v>
      </c>
      <c r="M14" s="3">
        <v>5</v>
      </c>
      <c r="N14" s="37">
        <v>382.34</v>
      </c>
      <c r="O14" s="37">
        <v>19.12</v>
      </c>
      <c r="P14" s="53">
        <v>363.22</v>
      </c>
      <c r="Q14" s="37">
        <v>177.17</v>
      </c>
      <c r="R14" s="37">
        <v>186.05</v>
      </c>
      <c r="S14" s="3">
        <v>51.2</v>
      </c>
      <c r="T14" s="1" t="s">
        <v>33</v>
      </c>
      <c r="U14" s="15">
        <v>3</v>
      </c>
    </row>
    <row r="15" spans="1:21" x14ac:dyDescent="0.3">
      <c r="A15" s="14" t="s">
        <v>72</v>
      </c>
      <c r="B15" s="46">
        <v>45296</v>
      </c>
      <c r="C15" s="4" t="s">
        <v>21</v>
      </c>
      <c r="D15" s="42" t="s">
        <v>1373</v>
      </c>
      <c r="E15" s="4">
        <v>2024</v>
      </c>
      <c r="F15" s="4" t="s">
        <v>53</v>
      </c>
      <c r="G15" s="61" t="s">
        <v>66</v>
      </c>
      <c r="H15" s="5" t="s">
        <v>50</v>
      </c>
      <c r="I15" s="5" t="s">
        <v>47</v>
      </c>
      <c r="J15" s="5" t="s">
        <v>73</v>
      </c>
      <c r="K15" s="4">
        <v>15</v>
      </c>
      <c r="L15" s="38">
        <v>67.56</v>
      </c>
      <c r="M15" s="6">
        <v>15</v>
      </c>
      <c r="N15" s="38">
        <v>1013.4</v>
      </c>
      <c r="O15" s="38">
        <v>152.01</v>
      </c>
      <c r="P15" s="54">
        <v>861.39</v>
      </c>
      <c r="Q15" s="38">
        <v>387.21</v>
      </c>
      <c r="R15" s="38">
        <v>474.18</v>
      </c>
      <c r="S15" s="6">
        <v>55</v>
      </c>
      <c r="T15" s="4" t="s">
        <v>44</v>
      </c>
      <c r="U15" s="16">
        <v>2</v>
      </c>
    </row>
    <row r="16" spans="1:21" x14ac:dyDescent="0.3">
      <c r="A16" s="13" t="s">
        <v>74</v>
      </c>
      <c r="B16" s="45">
        <v>45297</v>
      </c>
      <c r="C16" s="1" t="s">
        <v>21</v>
      </c>
      <c r="D16" s="41" t="s">
        <v>1373</v>
      </c>
      <c r="E16" s="1">
        <v>2024</v>
      </c>
      <c r="F16" s="1" t="s">
        <v>41</v>
      </c>
      <c r="G16" s="60" t="s">
        <v>46</v>
      </c>
      <c r="H16" s="2" t="s">
        <v>50</v>
      </c>
      <c r="I16" s="2" t="s">
        <v>75</v>
      </c>
      <c r="J16" s="2" t="s">
        <v>76</v>
      </c>
      <c r="K16" s="1">
        <v>19</v>
      </c>
      <c r="L16" s="37">
        <v>293.01</v>
      </c>
      <c r="M16" s="3">
        <v>0</v>
      </c>
      <c r="N16" s="37">
        <v>5567.19</v>
      </c>
      <c r="O16" s="37">
        <v>0</v>
      </c>
      <c r="P16" s="53">
        <v>5567.19</v>
      </c>
      <c r="Q16" s="37">
        <v>2094.69</v>
      </c>
      <c r="R16" s="37">
        <v>3472.5</v>
      </c>
      <c r="S16" s="3">
        <v>62.4</v>
      </c>
      <c r="T16" s="1" t="s">
        <v>44</v>
      </c>
      <c r="U16" s="15">
        <v>4</v>
      </c>
    </row>
    <row r="17" spans="1:21" x14ac:dyDescent="0.3">
      <c r="A17" s="14" t="s">
        <v>77</v>
      </c>
      <c r="B17" s="46">
        <v>45297</v>
      </c>
      <c r="C17" s="4" t="s">
        <v>21</v>
      </c>
      <c r="D17" s="42" t="s">
        <v>1373</v>
      </c>
      <c r="E17" s="4">
        <v>2024</v>
      </c>
      <c r="F17" s="4" t="s">
        <v>29</v>
      </c>
      <c r="G17" s="61" t="s">
        <v>58</v>
      </c>
      <c r="H17" s="5" t="s">
        <v>50</v>
      </c>
      <c r="I17" s="5" t="s">
        <v>55</v>
      </c>
      <c r="J17" s="5" t="s">
        <v>60</v>
      </c>
      <c r="K17" s="4">
        <v>14</v>
      </c>
      <c r="L17" s="38">
        <v>435.58</v>
      </c>
      <c r="M17" s="6">
        <v>15</v>
      </c>
      <c r="N17" s="38">
        <v>6098.12</v>
      </c>
      <c r="O17" s="38">
        <v>914.72</v>
      </c>
      <c r="P17" s="54">
        <v>5183.3999999999996</v>
      </c>
      <c r="Q17" s="38">
        <v>1898.58</v>
      </c>
      <c r="R17" s="38">
        <v>3284.82</v>
      </c>
      <c r="S17" s="6">
        <v>63.4</v>
      </c>
      <c r="T17" s="4" t="s">
        <v>44</v>
      </c>
      <c r="U17" s="16">
        <v>1</v>
      </c>
    </row>
    <row r="18" spans="1:21" x14ac:dyDescent="0.3">
      <c r="A18" s="13" t="s">
        <v>78</v>
      </c>
      <c r="B18" s="45">
        <v>45298</v>
      </c>
      <c r="C18" s="1" t="s">
        <v>21</v>
      </c>
      <c r="D18" s="41" t="s">
        <v>1373</v>
      </c>
      <c r="E18" s="1">
        <v>2024</v>
      </c>
      <c r="F18" s="1" t="s">
        <v>29</v>
      </c>
      <c r="G18" s="60" t="s">
        <v>66</v>
      </c>
      <c r="H18" s="2" t="s">
        <v>50</v>
      </c>
      <c r="I18" s="2" t="s">
        <v>75</v>
      </c>
      <c r="J18" s="2" t="s">
        <v>79</v>
      </c>
      <c r="K18" s="1">
        <v>13</v>
      </c>
      <c r="L18" s="37">
        <v>79.77</v>
      </c>
      <c r="M18" s="3">
        <v>0</v>
      </c>
      <c r="N18" s="37">
        <v>1037.01</v>
      </c>
      <c r="O18" s="37">
        <v>0</v>
      </c>
      <c r="P18" s="53">
        <v>1037.01</v>
      </c>
      <c r="Q18" s="37">
        <v>610.04</v>
      </c>
      <c r="R18" s="37">
        <v>426.97</v>
      </c>
      <c r="S18" s="3">
        <v>41.2</v>
      </c>
      <c r="T18" s="1" t="s">
        <v>33</v>
      </c>
      <c r="U18" s="15">
        <v>4</v>
      </c>
    </row>
    <row r="19" spans="1:21" x14ac:dyDescent="0.3">
      <c r="A19" s="14" t="s">
        <v>80</v>
      </c>
      <c r="B19" s="46">
        <v>45298</v>
      </c>
      <c r="C19" s="4" t="s">
        <v>21</v>
      </c>
      <c r="D19" s="42" t="s">
        <v>1373</v>
      </c>
      <c r="E19" s="4">
        <v>2024</v>
      </c>
      <c r="F19" s="4" t="s">
        <v>35</v>
      </c>
      <c r="G19" s="61" t="s">
        <v>36</v>
      </c>
      <c r="H19" s="5" t="s">
        <v>59</v>
      </c>
      <c r="I19" s="5" t="s">
        <v>38</v>
      </c>
      <c r="J19" s="5" t="s">
        <v>81</v>
      </c>
      <c r="K19" s="4">
        <v>1</v>
      </c>
      <c r="L19" s="38">
        <v>7.87</v>
      </c>
      <c r="M19" s="6">
        <v>0</v>
      </c>
      <c r="N19" s="38">
        <v>7.87</v>
      </c>
      <c r="O19" s="38">
        <v>0</v>
      </c>
      <c r="P19" s="54">
        <v>7.87</v>
      </c>
      <c r="Q19" s="38">
        <v>4.07</v>
      </c>
      <c r="R19" s="38">
        <v>3.8</v>
      </c>
      <c r="S19" s="6">
        <v>48.3</v>
      </c>
      <c r="T19" s="4" t="s">
        <v>44</v>
      </c>
      <c r="U19" s="16">
        <v>2</v>
      </c>
    </row>
    <row r="20" spans="1:21" x14ac:dyDescent="0.3">
      <c r="A20" s="13" t="s">
        <v>82</v>
      </c>
      <c r="B20" s="45">
        <v>45299</v>
      </c>
      <c r="C20" s="1" t="s">
        <v>21</v>
      </c>
      <c r="D20" s="41" t="s">
        <v>1373</v>
      </c>
      <c r="E20" s="1">
        <v>2024</v>
      </c>
      <c r="F20" s="1" t="s">
        <v>35</v>
      </c>
      <c r="G20" s="60" t="s">
        <v>54</v>
      </c>
      <c r="H20" s="2" t="s">
        <v>37</v>
      </c>
      <c r="I20" s="2" t="s">
        <v>47</v>
      </c>
      <c r="J20" s="2" t="s">
        <v>83</v>
      </c>
      <c r="K20" s="1">
        <v>7</v>
      </c>
      <c r="L20" s="37">
        <v>460.35</v>
      </c>
      <c r="M20" s="3">
        <v>0</v>
      </c>
      <c r="N20" s="37">
        <v>3222.45</v>
      </c>
      <c r="O20" s="37">
        <v>0</v>
      </c>
      <c r="P20" s="53">
        <v>3222.45</v>
      </c>
      <c r="Q20" s="37">
        <v>1683.69</v>
      </c>
      <c r="R20" s="37">
        <v>1538.76</v>
      </c>
      <c r="S20" s="3">
        <v>47.8</v>
      </c>
      <c r="T20" s="1" t="s">
        <v>44</v>
      </c>
      <c r="U20" s="15">
        <v>1</v>
      </c>
    </row>
    <row r="21" spans="1:21" x14ac:dyDescent="0.3">
      <c r="A21" s="14" t="s">
        <v>84</v>
      </c>
      <c r="B21" s="46">
        <v>45299</v>
      </c>
      <c r="C21" s="4" t="s">
        <v>21</v>
      </c>
      <c r="D21" s="42" t="s">
        <v>1373</v>
      </c>
      <c r="E21" s="4">
        <v>2024</v>
      </c>
      <c r="F21" s="4" t="s">
        <v>53</v>
      </c>
      <c r="G21" s="61" t="s">
        <v>66</v>
      </c>
      <c r="H21" s="5" t="s">
        <v>37</v>
      </c>
      <c r="I21" s="5" t="s">
        <v>38</v>
      </c>
      <c r="J21" s="5" t="s">
        <v>85</v>
      </c>
      <c r="K21" s="4">
        <v>7</v>
      </c>
      <c r="L21" s="38">
        <v>40.43</v>
      </c>
      <c r="M21" s="6">
        <v>5</v>
      </c>
      <c r="N21" s="38">
        <v>283.01</v>
      </c>
      <c r="O21" s="38">
        <v>14.15</v>
      </c>
      <c r="P21" s="54">
        <v>268.86</v>
      </c>
      <c r="Q21" s="38">
        <v>112.46</v>
      </c>
      <c r="R21" s="38">
        <v>156.4</v>
      </c>
      <c r="S21" s="6">
        <v>58.2</v>
      </c>
      <c r="T21" s="4" t="s">
        <v>44</v>
      </c>
      <c r="U21" s="16">
        <v>2</v>
      </c>
    </row>
    <row r="22" spans="1:21" x14ac:dyDescent="0.3">
      <c r="A22" s="13" t="s">
        <v>86</v>
      </c>
      <c r="B22" s="45">
        <v>45300</v>
      </c>
      <c r="C22" s="1" t="s">
        <v>21</v>
      </c>
      <c r="D22" s="41" t="s">
        <v>1373</v>
      </c>
      <c r="E22" s="1">
        <v>2024</v>
      </c>
      <c r="F22" s="1" t="s">
        <v>22</v>
      </c>
      <c r="G22" s="60" t="s">
        <v>54</v>
      </c>
      <c r="H22" s="2" t="s">
        <v>24</v>
      </c>
      <c r="I22" s="2" t="s">
        <v>75</v>
      </c>
      <c r="J22" s="2" t="s">
        <v>87</v>
      </c>
      <c r="K22" s="1">
        <v>9</v>
      </c>
      <c r="L22" s="37">
        <v>336.67</v>
      </c>
      <c r="M22" s="3">
        <v>10</v>
      </c>
      <c r="N22" s="37">
        <v>3030.03</v>
      </c>
      <c r="O22" s="37">
        <v>303</v>
      </c>
      <c r="P22" s="53">
        <v>2727.03</v>
      </c>
      <c r="Q22" s="37">
        <v>1166.06</v>
      </c>
      <c r="R22" s="37">
        <v>1560.97</v>
      </c>
      <c r="S22" s="3">
        <v>57.2</v>
      </c>
      <c r="T22" s="1" t="s">
        <v>33</v>
      </c>
      <c r="U22" s="15">
        <v>1</v>
      </c>
    </row>
    <row r="23" spans="1:21" x14ac:dyDescent="0.3">
      <c r="A23" s="14" t="s">
        <v>88</v>
      </c>
      <c r="B23" s="46">
        <v>45301</v>
      </c>
      <c r="C23" s="4" t="s">
        <v>21</v>
      </c>
      <c r="D23" s="42" t="s">
        <v>1373</v>
      </c>
      <c r="E23" s="4">
        <v>2024</v>
      </c>
      <c r="F23" s="4" t="s">
        <v>29</v>
      </c>
      <c r="G23" s="61" t="s">
        <v>66</v>
      </c>
      <c r="H23" s="5" t="s">
        <v>37</v>
      </c>
      <c r="I23" s="5" t="s">
        <v>47</v>
      </c>
      <c r="J23" s="5" t="s">
        <v>89</v>
      </c>
      <c r="K23" s="4">
        <v>3</v>
      </c>
      <c r="L23" s="38">
        <v>384.24</v>
      </c>
      <c r="M23" s="6">
        <v>5</v>
      </c>
      <c r="N23" s="38">
        <v>1152.72</v>
      </c>
      <c r="O23" s="38">
        <v>57.64</v>
      </c>
      <c r="P23" s="54">
        <v>1095.08</v>
      </c>
      <c r="Q23" s="38">
        <v>510.76</v>
      </c>
      <c r="R23" s="38">
        <v>584.32000000000005</v>
      </c>
      <c r="S23" s="6">
        <v>53.4</v>
      </c>
      <c r="T23" s="4" t="s">
        <v>27</v>
      </c>
      <c r="U23" s="16">
        <v>3</v>
      </c>
    </row>
    <row r="24" spans="1:21" x14ac:dyDescent="0.3">
      <c r="A24" s="13" t="s">
        <v>90</v>
      </c>
      <c r="B24" s="45">
        <v>45301</v>
      </c>
      <c r="C24" s="1" t="s">
        <v>21</v>
      </c>
      <c r="D24" s="41" t="s">
        <v>1373</v>
      </c>
      <c r="E24" s="1">
        <v>2024</v>
      </c>
      <c r="F24" s="1" t="s">
        <v>29</v>
      </c>
      <c r="G24" s="60" t="s">
        <v>91</v>
      </c>
      <c r="H24" s="2" t="s">
        <v>59</v>
      </c>
      <c r="I24" s="2" t="s">
        <v>25</v>
      </c>
      <c r="J24" s="2" t="s">
        <v>92</v>
      </c>
      <c r="K24" s="1">
        <v>19</v>
      </c>
      <c r="L24" s="37">
        <v>75.680000000000007</v>
      </c>
      <c r="M24" s="3">
        <v>0</v>
      </c>
      <c r="N24" s="37">
        <v>1437.92</v>
      </c>
      <c r="O24" s="37">
        <v>0</v>
      </c>
      <c r="P24" s="53">
        <v>1437.92</v>
      </c>
      <c r="Q24" s="37">
        <v>775.13</v>
      </c>
      <c r="R24" s="37">
        <v>662.79</v>
      </c>
      <c r="S24" s="3">
        <v>46.1</v>
      </c>
      <c r="T24" s="1" t="s">
        <v>33</v>
      </c>
      <c r="U24" s="15">
        <v>3</v>
      </c>
    </row>
    <row r="25" spans="1:21" x14ac:dyDescent="0.3">
      <c r="A25" s="14" t="s">
        <v>93</v>
      </c>
      <c r="B25" s="46">
        <v>45302</v>
      </c>
      <c r="C25" s="4" t="s">
        <v>21</v>
      </c>
      <c r="D25" s="42" t="s">
        <v>1373</v>
      </c>
      <c r="E25" s="4">
        <v>2024</v>
      </c>
      <c r="F25" s="4" t="s">
        <v>29</v>
      </c>
      <c r="G25" s="61" t="s">
        <v>30</v>
      </c>
      <c r="H25" s="5" t="s">
        <v>24</v>
      </c>
      <c r="I25" s="5" t="s">
        <v>25</v>
      </c>
      <c r="J25" s="5" t="s">
        <v>94</v>
      </c>
      <c r="K25" s="4">
        <v>4</v>
      </c>
      <c r="L25" s="38">
        <v>96.15</v>
      </c>
      <c r="M25" s="6">
        <v>20</v>
      </c>
      <c r="N25" s="38">
        <v>384.6</v>
      </c>
      <c r="O25" s="38">
        <v>76.92</v>
      </c>
      <c r="P25" s="54">
        <v>307.68</v>
      </c>
      <c r="Q25" s="38">
        <v>147.66</v>
      </c>
      <c r="R25" s="38">
        <v>160.02000000000001</v>
      </c>
      <c r="S25" s="6">
        <v>52</v>
      </c>
      <c r="T25" s="4" t="s">
        <v>44</v>
      </c>
      <c r="U25" s="16">
        <v>1</v>
      </c>
    </row>
    <row r="26" spans="1:21" x14ac:dyDescent="0.3">
      <c r="A26" s="13" t="s">
        <v>95</v>
      </c>
      <c r="B26" s="45">
        <v>45302</v>
      </c>
      <c r="C26" s="1" t="s">
        <v>21</v>
      </c>
      <c r="D26" s="41" t="s">
        <v>1373</v>
      </c>
      <c r="E26" s="1">
        <v>2024</v>
      </c>
      <c r="F26" s="1" t="s">
        <v>29</v>
      </c>
      <c r="G26" s="60" t="s">
        <v>46</v>
      </c>
      <c r="H26" s="2" t="s">
        <v>24</v>
      </c>
      <c r="I26" s="2" t="s">
        <v>75</v>
      </c>
      <c r="J26" s="2" t="s">
        <v>96</v>
      </c>
      <c r="K26" s="1">
        <v>18</v>
      </c>
      <c r="L26" s="37">
        <v>364.7</v>
      </c>
      <c r="M26" s="3">
        <v>5</v>
      </c>
      <c r="N26" s="37">
        <v>6564.6</v>
      </c>
      <c r="O26" s="37">
        <v>328.23</v>
      </c>
      <c r="P26" s="53">
        <v>6236.37</v>
      </c>
      <c r="Q26" s="37">
        <v>2214.33</v>
      </c>
      <c r="R26" s="37">
        <v>4022.04</v>
      </c>
      <c r="S26" s="3">
        <v>64.5</v>
      </c>
      <c r="T26" s="1" t="s">
        <v>33</v>
      </c>
      <c r="U26" s="15">
        <v>5</v>
      </c>
    </row>
    <row r="27" spans="1:21" x14ac:dyDescent="0.3">
      <c r="A27" s="14" t="s">
        <v>97</v>
      </c>
      <c r="B27" s="46">
        <v>45302</v>
      </c>
      <c r="C27" s="4" t="s">
        <v>21</v>
      </c>
      <c r="D27" s="42" t="s">
        <v>1373</v>
      </c>
      <c r="E27" s="4">
        <v>2024</v>
      </c>
      <c r="F27" s="4" t="s">
        <v>53</v>
      </c>
      <c r="G27" s="61" t="s">
        <v>58</v>
      </c>
      <c r="H27" s="5" t="s">
        <v>37</v>
      </c>
      <c r="I27" s="5" t="s">
        <v>75</v>
      </c>
      <c r="J27" s="5" t="s">
        <v>98</v>
      </c>
      <c r="K27" s="4">
        <v>6</v>
      </c>
      <c r="L27" s="38">
        <v>32.130000000000003</v>
      </c>
      <c r="M27" s="6">
        <v>10</v>
      </c>
      <c r="N27" s="38">
        <v>192.78</v>
      </c>
      <c r="O27" s="38">
        <v>19.28</v>
      </c>
      <c r="P27" s="54">
        <v>173.5</v>
      </c>
      <c r="Q27" s="38">
        <v>95.77</v>
      </c>
      <c r="R27" s="38">
        <v>77.73</v>
      </c>
      <c r="S27" s="6">
        <v>44.8</v>
      </c>
      <c r="T27" s="4" t="s">
        <v>44</v>
      </c>
      <c r="U27" s="16">
        <v>3</v>
      </c>
    </row>
    <row r="28" spans="1:21" x14ac:dyDescent="0.3">
      <c r="A28" s="13" t="s">
        <v>99</v>
      </c>
      <c r="B28" s="45">
        <v>45304</v>
      </c>
      <c r="C28" s="1" t="s">
        <v>21</v>
      </c>
      <c r="D28" s="41" t="s">
        <v>1373</v>
      </c>
      <c r="E28" s="1">
        <v>2024</v>
      </c>
      <c r="F28" s="1" t="s">
        <v>41</v>
      </c>
      <c r="G28" s="60" t="s">
        <v>54</v>
      </c>
      <c r="H28" s="2" t="s">
        <v>59</v>
      </c>
      <c r="I28" s="2" t="s">
        <v>55</v>
      </c>
      <c r="J28" s="2" t="s">
        <v>100</v>
      </c>
      <c r="K28" s="1">
        <v>12</v>
      </c>
      <c r="L28" s="37">
        <v>298</v>
      </c>
      <c r="M28" s="3">
        <v>10</v>
      </c>
      <c r="N28" s="37">
        <v>3576</v>
      </c>
      <c r="O28" s="37">
        <v>357.6</v>
      </c>
      <c r="P28" s="53">
        <v>3218.4</v>
      </c>
      <c r="Q28" s="37">
        <v>1642.83</v>
      </c>
      <c r="R28" s="37">
        <v>1575.57</v>
      </c>
      <c r="S28" s="3">
        <v>49</v>
      </c>
      <c r="T28" s="1" t="s">
        <v>44</v>
      </c>
      <c r="U28" s="15">
        <v>1</v>
      </c>
    </row>
    <row r="29" spans="1:21" x14ac:dyDescent="0.3">
      <c r="A29" s="14" t="s">
        <v>101</v>
      </c>
      <c r="B29" s="46">
        <v>45304</v>
      </c>
      <c r="C29" s="4" t="s">
        <v>21</v>
      </c>
      <c r="D29" s="42" t="s">
        <v>1373</v>
      </c>
      <c r="E29" s="4">
        <v>2024</v>
      </c>
      <c r="F29" s="4" t="s">
        <v>29</v>
      </c>
      <c r="G29" s="61" t="s">
        <v>58</v>
      </c>
      <c r="H29" s="5" t="s">
        <v>50</v>
      </c>
      <c r="I29" s="5" t="s">
        <v>25</v>
      </c>
      <c r="J29" s="5" t="s">
        <v>102</v>
      </c>
      <c r="K29" s="4">
        <v>11</v>
      </c>
      <c r="L29" s="38">
        <v>30.93</v>
      </c>
      <c r="M29" s="6">
        <v>0</v>
      </c>
      <c r="N29" s="38">
        <v>340.23</v>
      </c>
      <c r="O29" s="38">
        <v>0</v>
      </c>
      <c r="P29" s="54">
        <v>340.23</v>
      </c>
      <c r="Q29" s="38">
        <v>184.55</v>
      </c>
      <c r="R29" s="38">
        <v>155.68</v>
      </c>
      <c r="S29" s="6">
        <v>45.8</v>
      </c>
      <c r="T29" s="4" t="s">
        <v>44</v>
      </c>
      <c r="U29" s="16">
        <v>3</v>
      </c>
    </row>
    <row r="30" spans="1:21" x14ac:dyDescent="0.3">
      <c r="A30" s="13" t="s">
        <v>103</v>
      </c>
      <c r="B30" s="45">
        <v>45304</v>
      </c>
      <c r="C30" s="1" t="s">
        <v>21</v>
      </c>
      <c r="D30" s="41" t="s">
        <v>1373</v>
      </c>
      <c r="E30" s="1">
        <v>2024</v>
      </c>
      <c r="F30" s="1" t="s">
        <v>22</v>
      </c>
      <c r="G30" s="60" t="s">
        <v>30</v>
      </c>
      <c r="H30" s="2" t="s">
        <v>59</v>
      </c>
      <c r="I30" s="2" t="s">
        <v>55</v>
      </c>
      <c r="J30" s="2" t="s">
        <v>104</v>
      </c>
      <c r="K30" s="1">
        <v>7</v>
      </c>
      <c r="L30" s="37">
        <v>1131.26</v>
      </c>
      <c r="M30" s="3">
        <v>0</v>
      </c>
      <c r="N30" s="37">
        <v>7918.82</v>
      </c>
      <c r="O30" s="37">
        <v>0</v>
      </c>
      <c r="P30" s="53">
        <v>7918.82</v>
      </c>
      <c r="Q30" s="37">
        <v>4240.57</v>
      </c>
      <c r="R30" s="37">
        <v>3678.25</v>
      </c>
      <c r="S30" s="3">
        <v>46.4</v>
      </c>
      <c r="T30" s="1" t="s">
        <v>44</v>
      </c>
      <c r="U30" s="15">
        <v>1</v>
      </c>
    </row>
    <row r="31" spans="1:21" x14ac:dyDescent="0.3">
      <c r="A31" s="14" t="s">
        <v>105</v>
      </c>
      <c r="B31" s="46">
        <v>45304</v>
      </c>
      <c r="C31" s="4" t="s">
        <v>21</v>
      </c>
      <c r="D31" s="42" t="s">
        <v>1373</v>
      </c>
      <c r="E31" s="4">
        <v>2024</v>
      </c>
      <c r="F31" s="4" t="s">
        <v>29</v>
      </c>
      <c r="G31" s="61" t="s">
        <v>30</v>
      </c>
      <c r="H31" s="5" t="s">
        <v>59</v>
      </c>
      <c r="I31" s="5" t="s">
        <v>75</v>
      </c>
      <c r="J31" s="5" t="s">
        <v>79</v>
      </c>
      <c r="K31" s="4">
        <v>15</v>
      </c>
      <c r="L31" s="38">
        <v>253.33</v>
      </c>
      <c r="M31" s="6">
        <v>0</v>
      </c>
      <c r="N31" s="38">
        <v>3799.95</v>
      </c>
      <c r="O31" s="38">
        <v>0</v>
      </c>
      <c r="P31" s="54">
        <v>3799.95</v>
      </c>
      <c r="Q31" s="38">
        <v>2191.77</v>
      </c>
      <c r="R31" s="38">
        <v>1608.18</v>
      </c>
      <c r="S31" s="6">
        <v>42.3</v>
      </c>
      <c r="T31" s="4" t="s">
        <v>44</v>
      </c>
      <c r="U31" s="16">
        <v>1</v>
      </c>
    </row>
    <row r="32" spans="1:21" x14ac:dyDescent="0.3">
      <c r="A32" s="13" t="s">
        <v>106</v>
      </c>
      <c r="B32" s="45">
        <v>45305</v>
      </c>
      <c r="C32" s="1" t="s">
        <v>21</v>
      </c>
      <c r="D32" s="41" t="s">
        <v>1373</v>
      </c>
      <c r="E32" s="1">
        <v>2024</v>
      </c>
      <c r="F32" s="1" t="s">
        <v>35</v>
      </c>
      <c r="G32" s="60" t="s">
        <v>30</v>
      </c>
      <c r="H32" s="2" t="s">
        <v>59</v>
      </c>
      <c r="I32" s="2" t="s">
        <v>38</v>
      </c>
      <c r="J32" s="2" t="s">
        <v>107</v>
      </c>
      <c r="K32" s="1">
        <v>4</v>
      </c>
      <c r="L32" s="37">
        <v>36.74</v>
      </c>
      <c r="M32" s="3">
        <v>20</v>
      </c>
      <c r="N32" s="37">
        <v>146.96</v>
      </c>
      <c r="O32" s="37">
        <v>29.39</v>
      </c>
      <c r="P32" s="53">
        <v>117.57</v>
      </c>
      <c r="Q32" s="37">
        <v>61.8</v>
      </c>
      <c r="R32" s="37">
        <v>55.77</v>
      </c>
      <c r="S32" s="3">
        <v>47.4</v>
      </c>
      <c r="T32" s="1" t="s">
        <v>44</v>
      </c>
      <c r="U32" s="15">
        <v>5</v>
      </c>
    </row>
    <row r="33" spans="1:21" x14ac:dyDescent="0.3">
      <c r="A33" s="14" t="s">
        <v>108</v>
      </c>
      <c r="B33" s="46">
        <v>45305</v>
      </c>
      <c r="C33" s="4" t="s">
        <v>21</v>
      </c>
      <c r="D33" s="42" t="s">
        <v>1373</v>
      </c>
      <c r="E33" s="4">
        <v>2024</v>
      </c>
      <c r="F33" s="4" t="s">
        <v>22</v>
      </c>
      <c r="G33" s="61" t="s">
        <v>46</v>
      </c>
      <c r="H33" s="5" t="s">
        <v>24</v>
      </c>
      <c r="I33" s="5" t="s">
        <v>47</v>
      </c>
      <c r="J33" s="5" t="s">
        <v>109</v>
      </c>
      <c r="K33" s="4">
        <v>9</v>
      </c>
      <c r="L33" s="38">
        <v>392.56</v>
      </c>
      <c r="M33" s="6">
        <v>0</v>
      </c>
      <c r="N33" s="38">
        <v>3533.04</v>
      </c>
      <c r="O33" s="38">
        <v>0</v>
      </c>
      <c r="P33" s="54">
        <v>3533.04</v>
      </c>
      <c r="Q33" s="38">
        <v>1979.44</v>
      </c>
      <c r="R33" s="38">
        <v>1553.6</v>
      </c>
      <c r="S33" s="6">
        <v>44</v>
      </c>
      <c r="T33" s="4" t="s">
        <v>33</v>
      </c>
      <c r="U33" s="16">
        <v>2</v>
      </c>
    </row>
    <row r="34" spans="1:21" x14ac:dyDescent="0.3">
      <c r="A34" s="13" t="s">
        <v>110</v>
      </c>
      <c r="B34" s="45">
        <v>45305</v>
      </c>
      <c r="C34" s="1" t="s">
        <v>21</v>
      </c>
      <c r="D34" s="41" t="s">
        <v>1373</v>
      </c>
      <c r="E34" s="1">
        <v>2024</v>
      </c>
      <c r="F34" s="1" t="s">
        <v>41</v>
      </c>
      <c r="G34" s="60" t="s">
        <v>58</v>
      </c>
      <c r="H34" s="2" t="s">
        <v>24</v>
      </c>
      <c r="I34" s="2" t="s">
        <v>25</v>
      </c>
      <c r="J34" s="2" t="s">
        <v>111</v>
      </c>
      <c r="K34" s="1">
        <v>16</v>
      </c>
      <c r="L34" s="37">
        <v>43.27</v>
      </c>
      <c r="M34" s="3">
        <v>15</v>
      </c>
      <c r="N34" s="37">
        <v>692.32</v>
      </c>
      <c r="O34" s="37">
        <v>103.85</v>
      </c>
      <c r="P34" s="53">
        <v>588.47</v>
      </c>
      <c r="Q34" s="37">
        <v>218.78</v>
      </c>
      <c r="R34" s="37">
        <v>369.69</v>
      </c>
      <c r="S34" s="3">
        <v>62.8</v>
      </c>
      <c r="T34" s="1" t="s">
        <v>44</v>
      </c>
      <c r="U34" s="15">
        <v>2</v>
      </c>
    </row>
    <row r="35" spans="1:21" x14ac:dyDescent="0.3">
      <c r="A35" s="14" t="s">
        <v>112</v>
      </c>
      <c r="B35" s="46">
        <v>45305</v>
      </c>
      <c r="C35" s="4" t="s">
        <v>21</v>
      </c>
      <c r="D35" s="42" t="s">
        <v>1373</v>
      </c>
      <c r="E35" s="4">
        <v>2024</v>
      </c>
      <c r="F35" s="4" t="s">
        <v>29</v>
      </c>
      <c r="G35" s="61" t="s">
        <v>58</v>
      </c>
      <c r="H35" s="5" t="s">
        <v>59</v>
      </c>
      <c r="I35" s="5" t="s">
        <v>47</v>
      </c>
      <c r="J35" s="5" t="s">
        <v>113</v>
      </c>
      <c r="K35" s="4">
        <v>17</v>
      </c>
      <c r="L35" s="38">
        <v>78.489999999999995</v>
      </c>
      <c r="M35" s="6">
        <v>20</v>
      </c>
      <c r="N35" s="38">
        <v>1334.33</v>
      </c>
      <c r="O35" s="38">
        <v>266.87</v>
      </c>
      <c r="P35" s="54">
        <v>1067.46</v>
      </c>
      <c r="Q35" s="38">
        <v>670.81</v>
      </c>
      <c r="R35" s="38">
        <v>396.65</v>
      </c>
      <c r="S35" s="6">
        <v>37.200000000000003</v>
      </c>
      <c r="T35" s="4" t="s">
        <v>27</v>
      </c>
      <c r="U35" s="16">
        <v>4</v>
      </c>
    </row>
    <row r="36" spans="1:21" x14ac:dyDescent="0.3">
      <c r="A36" s="13" t="s">
        <v>114</v>
      </c>
      <c r="B36" s="45">
        <v>45306</v>
      </c>
      <c r="C36" s="1" t="s">
        <v>21</v>
      </c>
      <c r="D36" s="41" t="s">
        <v>1373</v>
      </c>
      <c r="E36" s="1">
        <v>2024</v>
      </c>
      <c r="F36" s="1" t="s">
        <v>53</v>
      </c>
      <c r="G36" s="60" t="s">
        <v>36</v>
      </c>
      <c r="H36" s="2" t="s">
        <v>50</v>
      </c>
      <c r="I36" s="2" t="s">
        <v>55</v>
      </c>
      <c r="J36" s="2" t="s">
        <v>115</v>
      </c>
      <c r="K36" s="1">
        <v>11</v>
      </c>
      <c r="L36" s="37">
        <v>324.20999999999998</v>
      </c>
      <c r="M36" s="3">
        <v>15</v>
      </c>
      <c r="N36" s="37">
        <v>3566.31</v>
      </c>
      <c r="O36" s="37">
        <v>534.95000000000005</v>
      </c>
      <c r="P36" s="53">
        <v>3031.36</v>
      </c>
      <c r="Q36" s="37">
        <v>1157.5</v>
      </c>
      <c r="R36" s="37">
        <v>1873.86</v>
      </c>
      <c r="S36" s="3">
        <v>61.8</v>
      </c>
      <c r="T36" s="1" t="s">
        <v>44</v>
      </c>
      <c r="U36" s="15">
        <v>5</v>
      </c>
    </row>
    <row r="37" spans="1:21" x14ac:dyDescent="0.3">
      <c r="A37" s="14" t="s">
        <v>116</v>
      </c>
      <c r="B37" s="46">
        <v>45306</v>
      </c>
      <c r="C37" s="4" t="s">
        <v>21</v>
      </c>
      <c r="D37" s="42" t="s">
        <v>1373</v>
      </c>
      <c r="E37" s="4">
        <v>2024</v>
      </c>
      <c r="F37" s="4" t="s">
        <v>53</v>
      </c>
      <c r="G37" s="61" t="s">
        <v>30</v>
      </c>
      <c r="H37" s="5" t="s">
        <v>24</v>
      </c>
      <c r="I37" s="5" t="s">
        <v>55</v>
      </c>
      <c r="J37" s="5" t="s">
        <v>100</v>
      </c>
      <c r="K37" s="4">
        <v>20</v>
      </c>
      <c r="L37" s="38">
        <v>784.79</v>
      </c>
      <c r="M37" s="6">
        <v>0</v>
      </c>
      <c r="N37" s="38">
        <v>15695.8</v>
      </c>
      <c r="O37" s="38">
        <v>0</v>
      </c>
      <c r="P37" s="54">
        <v>15695.8</v>
      </c>
      <c r="Q37" s="38">
        <v>9198.7999999999993</v>
      </c>
      <c r="R37" s="38">
        <v>6497</v>
      </c>
      <c r="S37" s="6">
        <v>41.4</v>
      </c>
      <c r="T37" s="4" t="s">
        <v>33</v>
      </c>
      <c r="U37" s="16">
        <v>3</v>
      </c>
    </row>
    <row r="38" spans="1:21" x14ac:dyDescent="0.3">
      <c r="A38" s="13" t="s">
        <v>117</v>
      </c>
      <c r="B38" s="45">
        <v>45306</v>
      </c>
      <c r="C38" s="1" t="s">
        <v>21</v>
      </c>
      <c r="D38" s="41" t="s">
        <v>1373</v>
      </c>
      <c r="E38" s="1">
        <v>2024</v>
      </c>
      <c r="F38" s="1" t="s">
        <v>29</v>
      </c>
      <c r="G38" s="60" t="s">
        <v>36</v>
      </c>
      <c r="H38" s="2" t="s">
        <v>59</v>
      </c>
      <c r="I38" s="2" t="s">
        <v>31</v>
      </c>
      <c r="J38" s="2" t="s">
        <v>118</v>
      </c>
      <c r="K38" s="1">
        <v>13</v>
      </c>
      <c r="L38" s="37">
        <v>130.22</v>
      </c>
      <c r="M38" s="3">
        <v>0</v>
      </c>
      <c r="N38" s="37">
        <v>1692.86</v>
      </c>
      <c r="O38" s="37">
        <v>0</v>
      </c>
      <c r="P38" s="53">
        <v>1692.86</v>
      </c>
      <c r="Q38" s="37">
        <v>745.54</v>
      </c>
      <c r="R38" s="37">
        <v>947.32</v>
      </c>
      <c r="S38" s="3">
        <v>56</v>
      </c>
      <c r="T38" s="1" t="s">
        <v>27</v>
      </c>
      <c r="U38" s="15">
        <v>5</v>
      </c>
    </row>
    <row r="39" spans="1:21" x14ac:dyDescent="0.3">
      <c r="A39" s="14" t="s">
        <v>119</v>
      </c>
      <c r="B39" s="46">
        <v>45307</v>
      </c>
      <c r="C39" s="4" t="s">
        <v>21</v>
      </c>
      <c r="D39" s="42" t="s">
        <v>1373</v>
      </c>
      <c r="E39" s="4">
        <v>2024</v>
      </c>
      <c r="F39" s="4" t="s">
        <v>35</v>
      </c>
      <c r="G39" s="61" t="s">
        <v>23</v>
      </c>
      <c r="H39" s="5" t="s">
        <v>50</v>
      </c>
      <c r="I39" s="5" t="s">
        <v>38</v>
      </c>
      <c r="J39" s="5" t="s">
        <v>120</v>
      </c>
      <c r="K39" s="4">
        <v>20</v>
      </c>
      <c r="L39" s="38">
        <v>9.7100000000000009</v>
      </c>
      <c r="M39" s="6">
        <v>0</v>
      </c>
      <c r="N39" s="38">
        <v>194.2</v>
      </c>
      <c r="O39" s="38">
        <v>0</v>
      </c>
      <c r="P39" s="54">
        <v>194.2</v>
      </c>
      <c r="Q39" s="38">
        <v>73.010000000000005</v>
      </c>
      <c r="R39" s="38">
        <v>121.19</v>
      </c>
      <c r="S39" s="6">
        <v>62.4</v>
      </c>
      <c r="T39" s="4" t="s">
        <v>44</v>
      </c>
      <c r="U39" s="16">
        <v>2</v>
      </c>
    </row>
    <row r="40" spans="1:21" x14ac:dyDescent="0.3">
      <c r="A40" s="13" t="s">
        <v>121</v>
      </c>
      <c r="B40" s="45">
        <v>45307</v>
      </c>
      <c r="C40" s="1" t="s">
        <v>21</v>
      </c>
      <c r="D40" s="41" t="s">
        <v>1373</v>
      </c>
      <c r="E40" s="1">
        <v>2024</v>
      </c>
      <c r="F40" s="1" t="s">
        <v>53</v>
      </c>
      <c r="G40" s="60" t="s">
        <v>122</v>
      </c>
      <c r="H40" s="2" t="s">
        <v>37</v>
      </c>
      <c r="I40" s="2" t="s">
        <v>25</v>
      </c>
      <c r="J40" s="2" t="s">
        <v>123</v>
      </c>
      <c r="K40" s="1">
        <v>13</v>
      </c>
      <c r="L40" s="37">
        <v>127.14</v>
      </c>
      <c r="M40" s="3">
        <v>5</v>
      </c>
      <c r="N40" s="37">
        <v>1652.82</v>
      </c>
      <c r="O40" s="37">
        <v>82.64</v>
      </c>
      <c r="P40" s="53">
        <v>1570.18</v>
      </c>
      <c r="Q40" s="37">
        <v>910.05</v>
      </c>
      <c r="R40" s="37">
        <v>660.13</v>
      </c>
      <c r="S40" s="3">
        <v>42</v>
      </c>
      <c r="T40" s="1" t="s">
        <v>44</v>
      </c>
      <c r="U40" s="15">
        <v>4</v>
      </c>
    </row>
    <row r="41" spans="1:21" x14ac:dyDescent="0.3">
      <c r="A41" s="14" t="s">
        <v>124</v>
      </c>
      <c r="B41" s="46">
        <v>45308</v>
      </c>
      <c r="C41" s="4" t="s">
        <v>21</v>
      </c>
      <c r="D41" s="42" t="s">
        <v>1373</v>
      </c>
      <c r="E41" s="4">
        <v>2024</v>
      </c>
      <c r="F41" s="4" t="s">
        <v>22</v>
      </c>
      <c r="G41" s="61" t="s">
        <v>23</v>
      </c>
      <c r="H41" s="5" t="s">
        <v>37</v>
      </c>
      <c r="I41" s="5" t="s">
        <v>25</v>
      </c>
      <c r="J41" s="5" t="s">
        <v>125</v>
      </c>
      <c r="K41" s="4">
        <v>19</v>
      </c>
      <c r="L41" s="38">
        <v>79.98</v>
      </c>
      <c r="M41" s="6">
        <v>0</v>
      </c>
      <c r="N41" s="38">
        <v>1519.62</v>
      </c>
      <c r="O41" s="38">
        <v>0</v>
      </c>
      <c r="P41" s="54">
        <v>1519.62</v>
      </c>
      <c r="Q41" s="38">
        <v>731.4</v>
      </c>
      <c r="R41" s="38">
        <v>788.22</v>
      </c>
      <c r="S41" s="6">
        <v>51.9</v>
      </c>
      <c r="T41" s="4" t="s">
        <v>44</v>
      </c>
      <c r="U41" s="16">
        <v>2</v>
      </c>
    </row>
    <row r="42" spans="1:21" x14ac:dyDescent="0.3">
      <c r="A42" s="13" t="s">
        <v>126</v>
      </c>
      <c r="B42" s="45">
        <v>45308</v>
      </c>
      <c r="C42" s="1" t="s">
        <v>21</v>
      </c>
      <c r="D42" s="41" t="s">
        <v>1373</v>
      </c>
      <c r="E42" s="1">
        <v>2024</v>
      </c>
      <c r="F42" s="1" t="s">
        <v>35</v>
      </c>
      <c r="G42" s="60" t="s">
        <v>122</v>
      </c>
      <c r="H42" s="2" t="s">
        <v>59</v>
      </c>
      <c r="I42" s="2" t="s">
        <v>55</v>
      </c>
      <c r="J42" s="2" t="s">
        <v>60</v>
      </c>
      <c r="K42" s="1">
        <v>4</v>
      </c>
      <c r="L42" s="37">
        <v>666.46</v>
      </c>
      <c r="M42" s="3">
        <v>0</v>
      </c>
      <c r="N42" s="37">
        <v>2665.84</v>
      </c>
      <c r="O42" s="37">
        <v>0</v>
      </c>
      <c r="P42" s="53">
        <v>2665.84</v>
      </c>
      <c r="Q42" s="37">
        <v>1249.04</v>
      </c>
      <c r="R42" s="37">
        <v>1416.8</v>
      </c>
      <c r="S42" s="3">
        <v>53.1</v>
      </c>
      <c r="T42" s="1" t="s">
        <v>44</v>
      </c>
      <c r="U42" s="15">
        <v>3</v>
      </c>
    </row>
    <row r="43" spans="1:21" x14ac:dyDescent="0.3">
      <c r="A43" s="14" t="s">
        <v>127</v>
      </c>
      <c r="B43" s="46">
        <v>45308</v>
      </c>
      <c r="C43" s="4" t="s">
        <v>21</v>
      </c>
      <c r="D43" s="42" t="s">
        <v>1373</v>
      </c>
      <c r="E43" s="4">
        <v>2024</v>
      </c>
      <c r="F43" s="4" t="s">
        <v>41</v>
      </c>
      <c r="G43" s="61" t="s">
        <v>30</v>
      </c>
      <c r="H43" s="5" t="s">
        <v>59</v>
      </c>
      <c r="I43" s="5" t="s">
        <v>38</v>
      </c>
      <c r="J43" s="5" t="s">
        <v>107</v>
      </c>
      <c r="K43" s="4">
        <v>12</v>
      </c>
      <c r="L43" s="38">
        <v>52.4</v>
      </c>
      <c r="M43" s="6">
        <v>20</v>
      </c>
      <c r="N43" s="38">
        <v>628.79999999999995</v>
      </c>
      <c r="O43" s="38">
        <v>125.76</v>
      </c>
      <c r="P43" s="54">
        <v>503.04</v>
      </c>
      <c r="Q43" s="38">
        <v>275.77999999999997</v>
      </c>
      <c r="R43" s="38">
        <v>227.26</v>
      </c>
      <c r="S43" s="6">
        <v>45.2</v>
      </c>
      <c r="T43" s="4" t="s">
        <v>44</v>
      </c>
      <c r="U43" s="16">
        <v>5</v>
      </c>
    </row>
    <row r="44" spans="1:21" x14ac:dyDescent="0.3">
      <c r="A44" s="13" t="s">
        <v>128</v>
      </c>
      <c r="B44" s="45">
        <v>45308</v>
      </c>
      <c r="C44" s="1" t="s">
        <v>21</v>
      </c>
      <c r="D44" s="41" t="s">
        <v>1373</v>
      </c>
      <c r="E44" s="1">
        <v>2024</v>
      </c>
      <c r="F44" s="1" t="s">
        <v>41</v>
      </c>
      <c r="G44" s="60" t="s">
        <v>58</v>
      </c>
      <c r="H44" s="2" t="s">
        <v>24</v>
      </c>
      <c r="I44" s="2" t="s">
        <v>47</v>
      </c>
      <c r="J44" s="2" t="s">
        <v>129</v>
      </c>
      <c r="K44" s="1">
        <v>12</v>
      </c>
      <c r="L44" s="37">
        <v>296.02</v>
      </c>
      <c r="M44" s="3">
        <v>10</v>
      </c>
      <c r="N44" s="37">
        <v>3552.24</v>
      </c>
      <c r="O44" s="37">
        <v>355.22</v>
      </c>
      <c r="P44" s="53">
        <v>3197.02</v>
      </c>
      <c r="Q44" s="37">
        <v>1573.56</v>
      </c>
      <c r="R44" s="37">
        <v>1623.46</v>
      </c>
      <c r="S44" s="3">
        <v>50.8</v>
      </c>
      <c r="T44" s="1" t="s">
        <v>44</v>
      </c>
      <c r="U44" s="15">
        <v>3</v>
      </c>
    </row>
    <row r="45" spans="1:21" x14ac:dyDescent="0.3">
      <c r="A45" s="14" t="s">
        <v>130</v>
      </c>
      <c r="B45" s="46">
        <v>45310</v>
      </c>
      <c r="C45" s="4" t="s">
        <v>21</v>
      </c>
      <c r="D45" s="42" t="s">
        <v>1373</v>
      </c>
      <c r="E45" s="4">
        <v>2024</v>
      </c>
      <c r="F45" s="4" t="s">
        <v>53</v>
      </c>
      <c r="G45" s="61" t="s">
        <v>42</v>
      </c>
      <c r="H45" s="5" t="s">
        <v>50</v>
      </c>
      <c r="I45" s="5" t="s">
        <v>25</v>
      </c>
      <c r="J45" s="5" t="s">
        <v>131</v>
      </c>
      <c r="K45" s="4">
        <v>15</v>
      </c>
      <c r="L45" s="38">
        <v>110.6</v>
      </c>
      <c r="M45" s="6">
        <v>20</v>
      </c>
      <c r="N45" s="38">
        <v>1659</v>
      </c>
      <c r="O45" s="38">
        <v>331.8</v>
      </c>
      <c r="P45" s="54">
        <v>1327.2</v>
      </c>
      <c r="Q45" s="38">
        <v>676.93</v>
      </c>
      <c r="R45" s="38">
        <v>650.27</v>
      </c>
      <c r="S45" s="6">
        <v>49</v>
      </c>
      <c r="T45" s="4" t="s">
        <v>44</v>
      </c>
      <c r="U45" s="16">
        <v>3</v>
      </c>
    </row>
    <row r="46" spans="1:21" x14ac:dyDescent="0.3">
      <c r="A46" s="13" t="s">
        <v>132</v>
      </c>
      <c r="B46" s="45">
        <v>45311</v>
      </c>
      <c r="C46" s="1" t="s">
        <v>21</v>
      </c>
      <c r="D46" s="41" t="s">
        <v>1373</v>
      </c>
      <c r="E46" s="1">
        <v>2024</v>
      </c>
      <c r="F46" s="1" t="s">
        <v>35</v>
      </c>
      <c r="G46" s="60" t="s">
        <v>54</v>
      </c>
      <c r="H46" s="2" t="s">
        <v>59</v>
      </c>
      <c r="I46" s="2" t="s">
        <v>55</v>
      </c>
      <c r="J46" s="2" t="s">
        <v>133</v>
      </c>
      <c r="K46" s="1">
        <v>20</v>
      </c>
      <c r="L46" s="37">
        <v>384.96</v>
      </c>
      <c r="M46" s="3">
        <v>0</v>
      </c>
      <c r="N46" s="37">
        <v>7699.2</v>
      </c>
      <c r="O46" s="37">
        <v>0</v>
      </c>
      <c r="P46" s="53">
        <v>7699.2</v>
      </c>
      <c r="Q46" s="37">
        <v>3009.73</v>
      </c>
      <c r="R46" s="37">
        <v>4689.47</v>
      </c>
      <c r="S46" s="3">
        <v>60.9</v>
      </c>
      <c r="T46" s="1" t="s">
        <v>33</v>
      </c>
      <c r="U46" s="15">
        <v>1</v>
      </c>
    </row>
    <row r="47" spans="1:21" x14ac:dyDescent="0.3">
      <c r="A47" s="14" t="s">
        <v>134</v>
      </c>
      <c r="B47" s="46">
        <v>45311</v>
      </c>
      <c r="C47" s="4" t="s">
        <v>21</v>
      </c>
      <c r="D47" s="42" t="s">
        <v>1373</v>
      </c>
      <c r="E47" s="4">
        <v>2024</v>
      </c>
      <c r="F47" s="4" t="s">
        <v>53</v>
      </c>
      <c r="G47" s="61" t="s">
        <v>122</v>
      </c>
      <c r="H47" s="5" t="s">
        <v>37</v>
      </c>
      <c r="I47" s="5" t="s">
        <v>31</v>
      </c>
      <c r="J47" s="5" t="s">
        <v>135</v>
      </c>
      <c r="K47" s="4">
        <v>6</v>
      </c>
      <c r="L47" s="38">
        <v>15.29</v>
      </c>
      <c r="M47" s="6">
        <v>20</v>
      </c>
      <c r="N47" s="38">
        <v>91.74</v>
      </c>
      <c r="O47" s="38">
        <v>18.350000000000001</v>
      </c>
      <c r="P47" s="54">
        <v>73.39</v>
      </c>
      <c r="Q47" s="38">
        <v>34.29</v>
      </c>
      <c r="R47" s="38">
        <v>39.1</v>
      </c>
      <c r="S47" s="6">
        <v>53.3</v>
      </c>
      <c r="T47" s="4" t="s">
        <v>33</v>
      </c>
      <c r="U47" s="16">
        <v>3</v>
      </c>
    </row>
    <row r="48" spans="1:21" x14ac:dyDescent="0.3">
      <c r="A48" s="13" t="s">
        <v>136</v>
      </c>
      <c r="B48" s="45">
        <v>45312</v>
      </c>
      <c r="C48" s="1" t="s">
        <v>21</v>
      </c>
      <c r="D48" s="41" t="s">
        <v>1373</v>
      </c>
      <c r="E48" s="1">
        <v>2024</v>
      </c>
      <c r="F48" s="1" t="s">
        <v>41</v>
      </c>
      <c r="G48" s="60" t="s">
        <v>36</v>
      </c>
      <c r="H48" s="2" t="s">
        <v>59</v>
      </c>
      <c r="I48" s="2" t="s">
        <v>75</v>
      </c>
      <c r="J48" s="2" t="s">
        <v>137</v>
      </c>
      <c r="K48" s="1">
        <v>10</v>
      </c>
      <c r="L48" s="37">
        <v>157.31</v>
      </c>
      <c r="M48" s="3">
        <v>0</v>
      </c>
      <c r="N48" s="37">
        <v>1573.1</v>
      </c>
      <c r="O48" s="37">
        <v>0</v>
      </c>
      <c r="P48" s="53">
        <v>1573.1</v>
      </c>
      <c r="Q48" s="37">
        <v>926.94</v>
      </c>
      <c r="R48" s="37">
        <v>646.16</v>
      </c>
      <c r="S48" s="3">
        <v>41.1</v>
      </c>
      <c r="T48" s="1" t="s">
        <v>27</v>
      </c>
      <c r="U48" s="15">
        <v>4</v>
      </c>
    </row>
    <row r="49" spans="1:21" x14ac:dyDescent="0.3">
      <c r="A49" s="14" t="s">
        <v>138</v>
      </c>
      <c r="B49" s="46">
        <v>45312</v>
      </c>
      <c r="C49" s="4" t="s">
        <v>21</v>
      </c>
      <c r="D49" s="42" t="s">
        <v>1373</v>
      </c>
      <c r="E49" s="4">
        <v>2024</v>
      </c>
      <c r="F49" s="4" t="s">
        <v>53</v>
      </c>
      <c r="G49" s="61" t="s">
        <v>66</v>
      </c>
      <c r="H49" s="5" t="s">
        <v>24</v>
      </c>
      <c r="I49" s="5" t="s">
        <v>25</v>
      </c>
      <c r="J49" s="5" t="s">
        <v>125</v>
      </c>
      <c r="K49" s="4">
        <v>20</v>
      </c>
      <c r="L49" s="38">
        <v>89.89</v>
      </c>
      <c r="M49" s="6">
        <v>15</v>
      </c>
      <c r="N49" s="38">
        <v>1797.8</v>
      </c>
      <c r="O49" s="38">
        <v>269.67</v>
      </c>
      <c r="P49" s="54">
        <v>1528.13</v>
      </c>
      <c r="Q49" s="38">
        <v>785.03</v>
      </c>
      <c r="R49" s="38">
        <v>743.1</v>
      </c>
      <c r="S49" s="6">
        <v>48.6</v>
      </c>
      <c r="T49" s="4" t="s">
        <v>44</v>
      </c>
      <c r="U49" s="16">
        <v>3</v>
      </c>
    </row>
    <row r="50" spans="1:21" x14ac:dyDescent="0.3">
      <c r="A50" s="13" t="s">
        <v>139</v>
      </c>
      <c r="B50" s="45">
        <v>45312</v>
      </c>
      <c r="C50" s="1" t="s">
        <v>21</v>
      </c>
      <c r="D50" s="41" t="s">
        <v>1373</v>
      </c>
      <c r="E50" s="1">
        <v>2024</v>
      </c>
      <c r="F50" s="1" t="s">
        <v>35</v>
      </c>
      <c r="G50" s="60" t="s">
        <v>58</v>
      </c>
      <c r="H50" s="2" t="s">
        <v>24</v>
      </c>
      <c r="I50" s="2" t="s">
        <v>38</v>
      </c>
      <c r="J50" s="2" t="s">
        <v>140</v>
      </c>
      <c r="K50" s="1">
        <v>19</v>
      </c>
      <c r="L50" s="37">
        <v>19.05</v>
      </c>
      <c r="M50" s="3">
        <v>0</v>
      </c>
      <c r="N50" s="37">
        <v>361.95</v>
      </c>
      <c r="O50" s="37">
        <v>0</v>
      </c>
      <c r="P50" s="53">
        <v>361.95</v>
      </c>
      <c r="Q50" s="37">
        <v>230.94</v>
      </c>
      <c r="R50" s="37">
        <v>131.01</v>
      </c>
      <c r="S50" s="3">
        <v>36.200000000000003</v>
      </c>
      <c r="T50" s="1" t="s">
        <v>44</v>
      </c>
      <c r="U50" s="15">
        <v>3</v>
      </c>
    </row>
    <row r="51" spans="1:21" x14ac:dyDescent="0.3">
      <c r="A51" s="14" t="s">
        <v>141</v>
      </c>
      <c r="B51" s="46">
        <v>45313</v>
      </c>
      <c r="C51" s="4" t="s">
        <v>21</v>
      </c>
      <c r="D51" s="42" t="s">
        <v>1373</v>
      </c>
      <c r="E51" s="4">
        <v>2024</v>
      </c>
      <c r="F51" s="4" t="s">
        <v>29</v>
      </c>
      <c r="G51" s="61" t="s">
        <v>54</v>
      </c>
      <c r="H51" s="5" t="s">
        <v>50</v>
      </c>
      <c r="I51" s="5" t="s">
        <v>75</v>
      </c>
      <c r="J51" s="5" t="s">
        <v>142</v>
      </c>
      <c r="K51" s="4">
        <v>3</v>
      </c>
      <c r="L51" s="38">
        <v>275.58</v>
      </c>
      <c r="M51" s="6">
        <v>15</v>
      </c>
      <c r="N51" s="38">
        <v>826.74</v>
      </c>
      <c r="O51" s="38">
        <v>124.01</v>
      </c>
      <c r="P51" s="54">
        <v>702.73</v>
      </c>
      <c r="Q51" s="38">
        <v>276.33</v>
      </c>
      <c r="R51" s="38">
        <v>426.4</v>
      </c>
      <c r="S51" s="6">
        <v>60.7</v>
      </c>
      <c r="T51" s="4" t="s">
        <v>44</v>
      </c>
      <c r="U51" s="16">
        <v>1</v>
      </c>
    </row>
    <row r="52" spans="1:21" x14ac:dyDescent="0.3">
      <c r="A52" s="13" t="s">
        <v>143</v>
      </c>
      <c r="B52" s="45">
        <v>45313</v>
      </c>
      <c r="C52" s="1" t="s">
        <v>21</v>
      </c>
      <c r="D52" s="41" t="s">
        <v>1373</v>
      </c>
      <c r="E52" s="1">
        <v>2024</v>
      </c>
      <c r="F52" s="1" t="s">
        <v>41</v>
      </c>
      <c r="G52" s="60" t="s">
        <v>122</v>
      </c>
      <c r="H52" s="2" t="s">
        <v>37</v>
      </c>
      <c r="I52" s="2" t="s">
        <v>47</v>
      </c>
      <c r="J52" s="2" t="s">
        <v>48</v>
      </c>
      <c r="K52" s="1">
        <v>5</v>
      </c>
      <c r="L52" s="37">
        <v>271.27</v>
      </c>
      <c r="M52" s="3">
        <v>0</v>
      </c>
      <c r="N52" s="37">
        <v>1356.35</v>
      </c>
      <c r="O52" s="37">
        <v>0</v>
      </c>
      <c r="P52" s="53">
        <v>1356.35</v>
      </c>
      <c r="Q52" s="37">
        <v>750.31</v>
      </c>
      <c r="R52" s="37">
        <v>606.04</v>
      </c>
      <c r="S52" s="3">
        <v>44.7</v>
      </c>
      <c r="T52" s="1" t="s">
        <v>44</v>
      </c>
      <c r="U52" s="15">
        <v>1</v>
      </c>
    </row>
    <row r="53" spans="1:21" x14ac:dyDescent="0.3">
      <c r="A53" s="14" t="s">
        <v>144</v>
      </c>
      <c r="B53" s="46">
        <v>45314</v>
      </c>
      <c r="C53" s="4" t="s">
        <v>21</v>
      </c>
      <c r="D53" s="42" t="s">
        <v>1373</v>
      </c>
      <c r="E53" s="4">
        <v>2024</v>
      </c>
      <c r="F53" s="4" t="s">
        <v>29</v>
      </c>
      <c r="G53" s="61" t="s">
        <v>30</v>
      </c>
      <c r="H53" s="5" t="s">
        <v>50</v>
      </c>
      <c r="I53" s="5" t="s">
        <v>31</v>
      </c>
      <c r="J53" s="5" t="s">
        <v>145</v>
      </c>
      <c r="K53" s="4">
        <v>11</v>
      </c>
      <c r="L53" s="38">
        <v>81.709999999999994</v>
      </c>
      <c r="M53" s="6">
        <v>0</v>
      </c>
      <c r="N53" s="38">
        <v>898.81</v>
      </c>
      <c r="O53" s="38">
        <v>0</v>
      </c>
      <c r="P53" s="54">
        <v>898.81</v>
      </c>
      <c r="Q53" s="38">
        <v>561.08000000000004</v>
      </c>
      <c r="R53" s="38">
        <v>337.73</v>
      </c>
      <c r="S53" s="6">
        <v>37.6</v>
      </c>
      <c r="T53" s="4" t="s">
        <v>44</v>
      </c>
      <c r="U53" s="16">
        <v>2</v>
      </c>
    </row>
    <row r="54" spans="1:21" x14ac:dyDescent="0.3">
      <c r="A54" s="13" t="s">
        <v>146</v>
      </c>
      <c r="B54" s="45">
        <v>45314</v>
      </c>
      <c r="C54" s="1" t="s">
        <v>21</v>
      </c>
      <c r="D54" s="41" t="s">
        <v>1373</v>
      </c>
      <c r="E54" s="1">
        <v>2024</v>
      </c>
      <c r="F54" s="1" t="s">
        <v>35</v>
      </c>
      <c r="G54" s="60" t="s">
        <v>30</v>
      </c>
      <c r="H54" s="2" t="s">
        <v>37</v>
      </c>
      <c r="I54" s="2" t="s">
        <v>25</v>
      </c>
      <c r="J54" s="2" t="s">
        <v>147</v>
      </c>
      <c r="K54" s="1">
        <v>4</v>
      </c>
      <c r="L54" s="37">
        <v>143.47999999999999</v>
      </c>
      <c r="M54" s="3">
        <v>15</v>
      </c>
      <c r="N54" s="37">
        <v>573.91999999999996</v>
      </c>
      <c r="O54" s="37">
        <v>86.09</v>
      </c>
      <c r="P54" s="53">
        <v>487.83</v>
      </c>
      <c r="Q54" s="37">
        <v>287.08999999999997</v>
      </c>
      <c r="R54" s="37">
        <v>200.74</v>
      </c>
      <c r="S54" s="3">
        <v>41.1</v>
      </c>
      <c r="T54" s="1" t="s">
        <v>33</v>
      </c>
      <c r="U54" s="15">
        <v>2</v>
      </c>
    </row>
    <row r="55" spans="1:21" x14ac:dyDescent="0.3">
      <c r="A55" s="14" t="s">
        <v>148</v>
      </c>
      <c r="B55" s="46">
        <v>45314</v>
      </c>
      <c r="C55" s="4" t="s">
        <v>21</v>
      </c>
      <c r="D55" s="42" t="s">
        <v>1373</v>
      </c>
      <c r="E55" s="4">
        <v>2024</v>
      </c>
      <c r="F55" s="4" t="s">
        <v>41</v>
      </c>
      <c r="G55" s="61" t="s">
        <v>91</v>
      </c>
      <c r="H55" s="5" t="s">
        <v>37</v>
      </c>
      <c r="I55" s="5" t="s">
        <v>75</v>
      </c>
      <c r="J55" s="5" t="s">
        <v>149</v>
      </c>
      <c r="K55" s="4">
        <v>8</v>
      </c>
      <c r="L55" s="38">
        <v>229.03</v>
      </c>
      <c r="M55" s="6">
        <v>5</v>
      </c>
      <c r="N55" s="38">
        <v>1832.24</v>
      </c>
      <c r="O55" s="38">
        <v>91.61</v>
      </c>
      <c r="P55" s="54">
        <v>1740.63</v>
      </c>
      <c r="Q55" s="38">
        <v>990.07</v>
      </c>
      <c r="R55" s="38">
        <v>750.56</v>
      </c>
      <c r="S55" s="6">
        <v>43.1</v>
      </c>
      <c r="T55" s="4" t="s">
        <v>44</v>
      </c>
      <c r="U55" s="16">
        <v>3</v>
      </c>
    </row>
    <row r="56" spans="1:21" x14ac:dyDescent="0.3">
      <c r="A56" s="13" t="s">
        <v>150</v>
      </c>
      <c r="B56" s="45">
        <v>45315</v>
      </c>
      <c r="C56" s="1" t="s">
        <v>21</v>
      </c>
      <c r="D56" s="41" t="s">
        <v>1373</v>
      </c>
      <c r="E56" s="1">
        <v>2024</v>
      </c>
      <c r="F56" s="1" t="s">
        <v>53</v>
      </c>
      <c r="G56" s="60" t="s">
        <v>54</v>
      </c>
      <c r="H56" s="2" t="s">
        <v>59</v>
      </c>
      <c r="I56" s="2" t="s">
        <v>38</v>
      </c>
      <c r="J56" s="2" t="s">
        <v>151</v>
      </c>
      <c r="K56" s="1">
        <v>10</v>
      </c>
      <c r="L56" s="37">
        <v>63.98</v>
      </c>
      <c r="M56" s="3">
        <v>10</v>
      </c>
      <c r="N56" s="37">
        <v>639.79999999999995</v>
      </c>
      <c r="O56" s="37">
        <v>63.98</v>
      </c>
      <c r="P56" s="53">
        <v>575.82000000000005</v>
      </c>
      <c r="Q56" s="37">
        <v>265.99</v>
      </c>
      <c r="R56" s="37">
        <v>309.83</v>
      </c>
      <c r="S56" s="3">
        <v>53.8</v>
      </c>
      <c r="T56" s="1" t="s">
        <v>44</v>
      </c>
      <c r="U56" s="15">
        <v>2</v>
      </c>
    </row>
    <row r="57" spans="1:21" x14ac:dyDescent="0.3">
      <c r="A57" s="14" t="s">
        <v>152</v>
      </c>
      <c r="B57" s="46">
        <v>45315</v>
      </c>
      <c r="C57" s="4" t="s">
        <v>21</v>
      </c>
      <c r="D57" s="42" t="s">
        <v>1373</v>
      </c>
      <c r="E57" s="4">
        <v>2024</v>
      </c>
      <c r="F57" s="4" t="s">
        <v>53</v>
      </c>
      <c r="G57" s="61" t="s">
        <v>23</v>
      </c>
      <c r="H57" s="5" t="s">
        <v>37</v>
      </c>
      <c r="I57" s="5" t="s">
        <v>75</v>
      </c>
      <c r="J57" s="5" t="s">
        <v>153</v>
      </c>
      <c r="K57" s="4">
        <v>4</v>
      </c>
      <c r="L57" s="38">
        <v>215.36</v>
      </c>
      <c r="M57" s="6">
        <v>0</v>
      </c>
      <c r="N57" s="38">
        <v>861.44</v>
      </c>
      <c r="O57" s="38">
        <v>0</v>
      </c>
      <c r="P57" s="54">
        <v>861.44</v>
      </c>
      <c r="Q57" s="38">
        <v>546.88</v>
      </c>
      <c r="R57" s="38">
        <v>314.56</v>
      </c>
      <c r="S57" s="6">
        <v>36.5</v>
      </c>
      <c r="T57" s="4" t="s">
        <v>44</v>
      </c>
      <c r="U57" s="16">
        <v>4</v>
      </c>
    </row>
    <row r="58" spans="1:21" x14ac:dyDescent="0.3">
      <c r="A58" s="13" t="s">
        <v>154</v>
      </c>
      <c r="B58" s="45">
        <v>45315</v>
      </c>
      <c r="C58" s="1" t="s">
        <v>21</v>
      </c>
      <c r="D58" s="41" t="s">
        <v>1373</v>
      </c>
      <c r="E58" s="1">
        <v>2024</v>
      </c>
      <c r="F58" s="1" t="s">
        <v>53</v>
      </c>
      <c r="G58" s="60" t="s">
        <v>54</v>
      </c>
      <c r="H58" s="2" t="s">
        <v>37</v>
      </c>
      <c r="I58" s="2" t="s">
        <v>55</v>
      </c>
      <c r="J58" s="2" t="s">
        <v>155</v>
      </c>
      <c r="K58" s="1">
        <v>6</v>
      </c>
      <c r="L58" s="37">
        <v>73.38</v>
      </c>
      <c r="M58" s="3">
        <v>20</v>
      </c>
      <c r="N58" s="37">
        <v>440.28</v>
      </c>
      <c r="O58" s="37">
        <v>88.06</v>
      </c>
      <c r="P58" s="53">
        <v>352.22</v>
      </c>
      <c r="Q58" s="37">
        <v>181.77</v>
      </c>
      <c r="R58" s="37">
        <v>170.45</v>
      </c>
      <c r="S58" s="3">
        <v>48.4</v>
      </c>
      <c r="T58" s="1" t="s">
        <v>44</v>
      </c>
      <c r="U58" s="15">
        <v>4</v>
      </c>
    </row>
    <row r="59" spans="1:21" x14ac:dyDescent="0.3">
      <c r="A59" s="14" t="s">
        <v>156</v>
      </c>
      <c r="B59" s="46">
        <v>45316</v>
      </c>
      <c r="C59" s="4" t="s">
        <v>21</v>
      </c>
      <c r="D59" s="42" t="s">
        <v>1373</v>
      </c>
      <c r="E59" s="4">
        <v>2024</v>
      </c>
      <c r="F59" s="4" t="s">
        <v>41</v>
      </c>
      <c r="G59" s="61" t="s">
        <v>122</v>
      </c>
      <c r="H59" s="5" t="s">
        <v>24</v>
      </c>
      <c r="I59" s="5" t="s">
        <v>75</v>
      </c>
      <c r="J59" s="5" t="s">
        <v>79</v>
      </c>
      <c r="K59" s="4">
        <v>12</v>
      </c>
      <c r="L59" s="38">
        <v>352.5</v>
      </c>
      <c r="M59" s="6">
        <v>20</v>
      </c>
      <c r="N59" s="38">
        <v>4230</v>
      </c>
      <c r="O59" s="38">
        <v>846</v>
      </c>
      <c r="P59" s="54">
        <v>3384</v>
      </c>
      <c r="Q59" s="38">
        <v>1747.91</v>
      </c>
      <c r="R59" s="38">
        <v>1636.09</v>
      </c>
      <c r="S59" s="6">
        <v>48.3</v>
      </c>
      <c r="T59" s="4" t="s">
        <v>44</v>
      </c>
      <c r="U59" s="16">
        <v>4</v>
      </c>
    </row>
    <row r="60" spans="1:21" x14ac:dyDescent="0.3">
      <c r="A60" s="13" t="s">
        <v>157</v>
      </c>
      <c r="B60" s="45">
        <v>45317</v>
      </c>
      <c r="C60" s="1" t="s">
        <v>21</v>
      </c>
      <c r="D60" s="41" t="s">
        <v>1373</v>
      </c>
      <c r="E60" s="1">
        <v>2024</v>
      </c>
      <c r="F60" s="1" t="s">
        <v>41</v>
      </c>
      <c r="G60" s="60" t="s">
        <v>42</v>
      </c>
      <c r="H60" s="2" t="s">
        <v>50</v>
      </c>
      <c r="I60" s="2" t="s">
        <v>47</v>
      </c>
      <c r="J60" s="2" t="s">
        <v>158</v>
      </c>
      <c r="K60" s="1">
        <v>5</v>
      </c>
      <c r="L60" s="37">
        <v>40.9</v>
      </c>
      <c r="M60" s="3">
        <v>20</v>
      </c>
      <c r="N60" s="37">
        <v>204.5</v>
      </c>
      <c r="O60" s="37">
        <v>40.9</v>
      </c>
      <c r="P60" s="53">
        <v>163.6</v>
      </c>
      <c r="Q60" s="37">
        <v>63.31</v>
      </c>
      <c r="R60" s="37">
        <v>100.29</v>
      </c>
      <c r="S60" s="3">
        <v>61.3</v>
      </c>
      <c r="T60" s="1" t="s">
        <v>27</v>
      </c>
      <c r="U60" s="15">
        <v>1</v>
      </c>
    </row>
    <row r="61" spans="1:21" x14ac:dyDescent="0.3">
      <c r="A61" s="14" t="s">
        <v>159</v>
      </c>
      <c r="B61" s="46">
        <v>45317</v>
      </c>
      <c r="C61" s="4" t="s">
        <v>21</v>
      </c>
      <c r="D61" s="42" t="s">
        <v>1373</v>
      </c>
      <c r="E61" s="4">
        <v>2024</v>
      </c>
      <c r="F61" s="4" t="s">
        <v>53</v>
      </c>
      <c r="G61" s="61" t="s">
        <v>54</v>
      </c>
      <c r="H61" s="5" t="s">
        <v>50</v>
      </c>
      <c r="I61" s="5" t="s">
        <v>75</v>
      </c>
      <c r="J61" s="5" t="s">
        <v>160</v>
      </c>
      <c r="K61" s="4">
        <v>17</v>
      </c>
      <c r="L61" s="38">
        <v>170.08</v>
      </c>
      <c r="M61" s="6">
        <v>15</v>
      </c>
      <c r="N61" s="38">
        <v>2891.36</v>
      </c>
      <c r="O61" s="38">
        <v>433.7</v>
      </c>
      <c r="P61" s="54">
        <v>2457.66</v>
      </c>
      <c r="Q61" s="38">
        <v>863.89</v>
      </c>
      <c r="R61" s="38">
        <v>1593.77</v>
      </c>
      <c r="S61" s="6">
        <v>64.8</v>
      </c>
      <c r="T61" s="4" t="s">
        <v>44</v>
      </c>
      <c r="U61" s="16">
        <v>1</v>
      </c>
    </row>
    <row r="62" spans="1:21" x14ac:dyDescent="0.3">
      <c r="A62" s="13" t="s">
        <v>161</v>
      </c>
      <c r="B62" s="45">
        <v>45317</v>
      </c>
      <c r="C62" s="1" t="s">
        <v>21</v>
      </c>
      <c r="D62" s="41" t="s">
        <v>1373</v>
      </c>
      <c r="E62" s="1">
        <v>2024</v>
      </c>
      <c r="F62" s="1" t="s">
        <v>53</v>
      </c>
      <c r="G62" s="60" t="s">
        <v>46</v>
      </c>
      <c r="H62" s="2" t="s">
        <v>24</v>
      </c>
      <c r="I62" s="2" t="s">
        <v>47</v>
      </c>
      <c r="J62" s="2" t="s">
        <v>162</v>
      </c>
      <c r="K62" s="1">
        <v>13</v>
      </c>
      <c r="L62" s="37">
        <v>199.19</v>
      </c>
      <c r="M62" s="3">
        <v>0</v>
      </c>
      <c r="N62" s="37">
        <v>2589.4699999999998</v>
      </c>
      <c r="O62" s="37">
        <v>0</v>
      </c>
      <c r="P62" s="53">
        <v>2589.4699999999998</v>
      </c>
      <c r="Q62" s="37">
        <v>1369.82</v>
      </c>
      <c r="R62" s="37">
        <v>1219.6500000000001</v>
      </c>
      <c r="S62" s="3">
        <v>47.1</v>
      </c>
      <c r="T62" s="1" t="s">
        <v>33</v>
      </c>
      <c r="U62" s="15">
        <v>5</v>
      </c>
    </row>
    <row r="63" spans="1:21" x14ac:dyDescent="0.3">
      <c r="A63" s="14" t="s">
        <v>163</v>
      </c>
      <c r="B63" s="46">
        <v>45317</v>
      </c>
      <c r="C63" s="4" t="s">
        <v>21</v>
      </c>
      <c r="D63" s="42" t="s">
        <v>1373</v>
      </c>
      <c r="E63" s="4">
        <v>2024</v>
      </c>
      <c r="F63" s="4" t="s">
        <v>29</v>
      </c>
      <c r="G63" s="61" t="s">
        <v>36</v>
      </c>
      <c r="H63" s="5" t="s">
        <v>59</v>
      </c>
      <c r="I63" s="5" t="s">
        <v>47</v>
      </c>
      <c r="J63" s="5" t="s">
        <v>164</v>
      </c>
      <c r="K63" s="4">
        <v>14</v>
      </c>
      <c r="L63" s="38">
        <v>378.71</v>
      </c>
      <c r="M63" s="6">
        <v>5</v>
      </c>
      <c r="N63" s="38">
        <v>5301.94</v>
      </c>
      <c r="O63" s="38">
        <v>265.10000000000002</v>
      </c>
      <c r="P63" s="54">
        <v>5036.84</v>
      </c>
      <c r="Q63" s="38">
        <v>2574.56</v>
      </c>
      <c r="R63" s="38">
        <v>2462.2800000000002</v>
      </c>
      <c r="S63" s="6">
        <v>48.9</v>
      </c>
      <c r="T63" s="4" t="s">
        <v>33</v>
      </c>
      <c r="U63" s="16">
        <v>4</v>
      </c>
    </row>
    <row r="64" spans="1:21" x14ac:dyDescent="0.3">
      <c r="A64" s="13" t="s">
        <v>165</v>
      </c>
      <c r="B64" s="45">
        <v>45318</v>
      </c>
      <c r="C64" s="1" t="s">
        <v>21</v>
      </c>
      <c r="D64" s="41" t="s">
        <v>1373</v>
      </c>
      <c r="E64" s="1">
        <v>2024</v>
      </c>
      <c r="F64" s="1" t="s">
        <v>41</v>
      </c>
      <c r="G64" s="60" t="s">
        <v>58</v>
      </c>
      <c r="H64" s="2" t="s">
        <v>50</v>
      </c>
      <c r="I64" s="2" t="s">
        <v>38</v>
      </c>
      <c r="J64" s="2" t="s">
        <v>166</v>
      </c>
      <c r="K64" s="1">
        <v>20</v>
      </c>
      <c r="L64" s="37">
        <v>31.78</v>
      </c>
      <c r="M64" s="3">
        <v>0</v>
      </c>
      <c r="N64" s="37">
        <v>635.6</v>
      </c>
      <c r="O64" s="37">
        <v>0</v>
      </c>
      <c r="P64" s="53">
        <v>635.6</v>
      </c>
      <c r="Q64" s="37">
        <v>403.03</v>
      </c>
      <c r="R64" s="37">
        <v>232.57</v>
      </c>
      <c r="S64" s="3">
        <v>36.6</v>
      </c>
      <c r="T64" s="1" t="s">
        <v>44</v>
      </c>
      <c r="U64" s="15">
        <v>3</v>
      </c>
    </row>
    <row r="65" spans="1:21" x14ac:dyDescent="0.3">
      <c r="A65" s="14" t="s">
        <v>167</v>
      </c>
      <c r="B65" s="46">
        <v>45318</v>
      </c>
      <c r="C65" s="4" t="s">
        <v>21</v>
      </c>
      <c r="D65" s="42" t="s">
        <v>1373</v>
      </c>
      <c r="E65" s="4">
        <v>2024</v>
      </c>
      <c r="F65" s="4" t="s">
        <v>53</v>
      </c>
      <c r="G65" s="61" t="s">
        <v>66</v>
      </c>
      <c r="H65" s="5" t="s">
        <v>24</v>
      </c>
      <c r="I65" s="5" t="s">
        <v>55</v>
      </c>
      <c r="J65" s="5" t="s">
        <v>168</v>
      </c>
      <c r="K65" s="4">
        <v>5</v>
      </c>
      <c r="L65" s="38">
        <v>127.69</v>
      </c>
      <c r="M65" s="6">
        <v>15</v>
      </c>
      <c r="N65" s="38">
        <v>638.45000000000005</v>
      </c>
      <c r="O65" s="38">
        <v>95.77</v>
      </c>
      <c r="P65" s="54">
        <v>542.67999999999995</v>
      </c>
      <c r="Q65" s="38">
        <v>239.54</v>
      </c>
      <c r="R65" s="38">
        <v>303.14</v>
      </c>
      <c r="S65" s="6">
        <v>55.9</v>
      </c>
      <c r="T65" s="4" t="s">
        <v>44</v>
      </c>
      <c r="U65" s="16">
        <v>2</v>
      </c>
    </row>
    <row r="66" spans="1:21" x14ac:dyDescent="0.3">
      <c r="A66" s="13" t="s">
        <v>169</v>
      </c>
      <c r="B66" s="45">
        <v>45318</v>
      </c>
      <c r="C66" s="1" t="s">
        <v>21</v>
      </c>
      <c r="D66" s="41" t="s">
        <v>1373</v>
      </c>
      <c r="E66" s="1">
        <v>2024</v>
      </c>
      <c r="F66" s="1" t="s">
        <v>35</v>
      </c>
      <c r="G66" s="60" t="s">
        <v>54</v>
      </c>
      <c r="H66" s="2" t="s">
        <v>59</v>
      </c>
      <c r="I66" s="2" t="s">
        <v>31</v>
      </c>
      <c r="J66" s="2" t="s">
        <v>170</v>
      </c>
      <c r="K66" s="1">
        <v>19</v>
      </c>
      <c r="L66" s="37">
        <v>59.61</v>
      </c>
      <c r="M66" s="3">
        <v>0</v>
      </c>
      <c r="N66" s="37">
        <v>1132.5899999999999</v>
      </c>
      <c r="O66" s="37">
        <v>0</v>
      </c>
      <c r="P66" s="53">
        <v>1132.5899999999999</v>
      </c>
      <c r="Q66" s="37">
        <v>650.66</v>
      </c>
      <c r="R66" s="37">
        <v>481.93</v>
      </c>
      <c r="S66" s="3">
        <v>42.6</v>
      </c>
      <c r="T66" s="1" t="s">
        <v>44</v>
      </c>
      <c r="U66" s="15">
        <v>1</v>
      </c>
    </row>
    <row r="67" spans="1:21" x14ac:dyDescent="0.3">
      <c r="A67" s="14" t="s">
        <v>171</v>
      </c>
      <c r="B67" s="46">
        <v>45319</v>
      </c>
      <c r="C67" s="4" t="s">
        <v>21</v>
      </c>
      <c r="D67" s="42" t="s">
        <v>1373</v>
      </c>
      <c r="E67" s="4">
        <v>2024</v>
      </c>
      <c r="F67" s="4" t="s">
        <v>53</v>
      </c>
      <c r="G67" s="61" t="s">
        <v>30</v>
      </c>
      <c r="H67" s="5" t="s">
        <v>24</v>
      </c>
      <c r="I67" s="5" t="s">
        <v>47</v>
      </c>
      <c r="J67" s="5" t="s">
        <v>172</v>
      </c>
      <c r="K67" s="4">
        <v>13</v>
      </c>
      <c r="L67" s="38">
        <v>335.41</v>
      </c>
      <c r="M67" s="6">
        <v>10</v>
      </c>
      <c r="N67" s="38">
        <v>4360.33</v>
      </c>
      <c r="O67" s="38">
        <v>436.03</v>
      </c>
      <c r="P67" s="54">
        <v>3924.3</v>
      </c>
      <c r="Q67" s="38">
        <v>2437.2399999999998</v>
      </c>
      <c r="R67" s="38">
        <v>1487.06</v>
      </c>
      <c r="S67" s="6">
        <v>37.9</v>
      </c>
      <c r="T67" s="4" t="s">
        <v>44</v>
      </c>
      <c r="U67" s="16">
        <v>3</v>
      </c>
    </row>
    <row r="68" spans="1:21" x14ac:dyDescent="0.3">
      <c r="A68" s="13" t="s">
        <v>173</v>
      </c>
      <c r="B68" s="45">
        <v>45319</v>
      </c>
      <c r="C68" s="1" t="s">
        <v>21</v>
      </c>
      <c r="D68" s="41" t="s">
        <v>1373</v>
      </c>
      <c r="E68" s="1">
        <v>2024</v>
      </c>
      <c r="F68" s="1" t="s">
        <v>41</v>
      </c>
      <c r="G68" s="60" t="s">
        <v>58</v>
      </c>
      <c r="H68" s="2" t="s">
        <v>50</v>
      </c>
      <c r="I68" s="2" t="s">
        <v>75</v>
      </c>
      <c r="J68" s="2" t="s">
        <v>137</v>
      </c>
      <c r="K68" s="1">
        <v>14</v>
      </c>
      <c r="L68" s="37">
        <v>63.87</v>
      </c>
      <c r="M68" s="3">
        <v>20</v>
      </c>
      <c r="N68" s="37">
        <v>894.18</v>
      </c>
      <c r="O68" s="37">
        <v>178.84</v>
      </c>
      <c r="P68" s="53">
        <v>715.34</v>
      </c>
      <c r="Q68" s="37">
        <v>324.16000000000003</v>
      </c>
      <c r="R68" s="37">
        <v>391.18</v>
      </c>
      <c r="S68" s="3">
        <v>54.7</v>
      </c>
      <c r="T68" s="1" t="s">
        <v>44</v>
      </c>
      <c r="U68" s="15">
        <v>2</v>
      </c>
    </row>
    <row r="69" spans="1:21" x14ac:dyDescent="0.3">
      <c r="A69" s="14" t="s">
        <v>174</v>
      </c>
      <c r="B69" s="46">
        <v>45319</v>
      </c>
      <c r="C69" s="4" t="s">
        <v>21</v>
      </c>
      <c r="D69" s="42" t="s">
        <v>1373</v>
      </c>
      <c r="E69" s="4">
        <v>2024</v>
      </c>
      <c r="F69" s="4" t="s">
        <v>53</v>
      </c>
      <c r="G69" s="61" t="s">
        <v>23</v>
      </c>
      <c r="H69" s="5" t="s">
        <v>50</v>
      </c>
      <c r="I69" s="5" t="s">
        <v>38</v>
      </c>
      <c r="J69" s="5" t="s">
        <v>175</v>
      </c>
      <c r="K69" s="4">
        <v>6</v>
      </c>
      <c r="L69" s="38">
        <v>48.64</v>
      </c>
      <c r="M69" s="6">
        <v>0</v>
      </c>
      <c r="N69" s="38">
        <v>291.83999999999997</v>
      </c>
      <c r="O69" s="38">
        <v>0</v>
      </c>
      <c r="P69" s="54">
        <v>291.83999999999997</v>
      </c>
      <c r="Q69" s="38">
        <v>138.27000000000001</v>
      </c>
      <c r="R69" s="38">
        <v>153.57</v>
      </c>
      <c r="S69" s="6">
        <v>52.6</v>
      </c>
      <c r="T69" s="4" t="s">
        <v>27</v>
      </c>
      <c r="U69" s="16">
        <v>2</v>
      </c>
    </row>
    <row r="70" spans="1:21" x14ac:dyDescent="0.3">
      <c r="A70" s="13" t="s">
        <v>176</v>
      </c>
      <c r="B70" s="45">
        <v>45320</v>
      </c>
      <c r="C70" s="1" t="s">
        <v>21</v>
      </c>
      <c r="D70" s="41" t="s">
        <v>1373</v>
      </c>
      <c r="E70" s="1">
        <v>2024</v>
      </c>
      <c r="F70" s="1" t="s">
        <v>29</v>
      </c>
      <c r="G70" s="60" t="s">
        <v>54</v>
      </c>
      <c r="H70" s="2" t="s">
        <v>37</v>
      </c>
      <c r="I70" s="2" t="s">
        <v>75</v>
      </c>
      <c r="J70" s="2" t="s">
        <v>177</v>
      </c>
      <c r="K70" s="1">
        <v>16</v>
      </c>
      <c r="L70" s="37">
        <v>308.75</v>
      </c>
      <c r="M70" s="3">
        <v>0</v>
      </c>
      <c r="N70" s="37">
        <v>4940</v>
      </c>
      <c r="O70" s="37">
        <v>0</v>
      </c>
      <c r="P70" s="53">
        <v>4940</v>
      </c>
      <c r="Q70" s="37">
        <v>2686.27</v>
      </c>
      <c r="R70" s="37">
        <v>2253.73</v>
      </c>
      <c r="S70" s="3">
        <v>45.6</v>
      </c>
      <c r="T70" s="1" t="s">
        <v>44</v>
      </c>
      <c r="U70" s="15">
        <v>4</v>
      </c>
    </row>
    <row r="71" spans="1:21" x14ac:dyDescent="0.3">
      <c r="A71" s="14" t="s">
        <v>178</v>
      </c>
      <c r="B71" s="46">
        <v>45321</v>
      </c>
      <c r="C71" s="4" t="s">
        <v>21</v>
      </c>
      <c r="D71" s="42" t="s">
        <v>1373</v>
      </c>
      <c r="E71" s="4">
        <v>2024</v>
      </c>
      <c r="F71" s="4" t="s">
        <v>22</v>
      </c>
      <c r="G71" s="61" t="s">
        <v>66</v>
      </c>
      <c r="H71" s="5" t="s">
        <v>24</v>
      </c>
      <c r="I71" s="5" t="s">
        <v>47</v>
      </c>
      <c r="J71" s="5" t="s">
        <v>179</v>
      </c>
      <c r="K71" s="4">
        <v>18</v>
      </c>
      <c r="L71" s="38">
        <v>84.04</v>
      </c>
      <c r="M71" s="6">
        <v>0</v>
      </c>
      <c r="N71" s="38">
        <v>1512.72</v>
      </c>
      <c r="O71" s="38">
        <v>0</v>
      </c>
      <c r="P71" s="54">
        <v>1512.72</v>
      </c>
      <c r="Q71" s="38">
        <v>762.06</v>
      </c>
      <c r="R71" s="38">
        <v>750.66</v>
      </c>
      <c r="S71" s="6">
        <v>49.6</v>
      </c>
      <c r="T71" s="4" t="s">
        <v>44</v>
      </c>
      <c r="U71" s="16">
        <v>3</v>
      </c>
    </row>
    <row r="72" spans="1:21" x14ac:dyDescent="0.3">
      <c r="A72" s="13" t="s">
        <v>180</v>
      </c>
      <c r="B72" s="45">
        <v>45321</v>
      </c>
      <c r="C72" s="1" t="s">
        <v>21</v>
      </c>
      <c r="D72" s="41" t="s">
        <v>1373</v>
      </c>
      <c r="E72" s="1">
        <v>2024</v>
      </c>
      <c r="F72" s="1" t="s">
        <v>41</v>
      </c>
      <c r="G72" s="60" t="s">
        <v>46</v>
      </c>
      <c r="H72" s="2" t="s">
        <v>37</v>
      </c>
      <c r="I72" s="2" t="s">
        <v>38</v>
      </c>
      <c r="J72" s="2" t="s">
        <v>81</v>
      </c>
      <c r="K72" s="1">
        <v>6</v>
      </c>
      <c r="L72" s="37">
        <v>31.42</v>
      </c>
      <c r="M72" s="3">
        <v>10</v>
      </c>
      <c r="N72" s="37">
        <v>188.52</v>
      </c>
      <c r="O72" s="37">
        <v>18.850000000000001</v>
      </c>
      <c r="P72" s="53">
        <v>169.67</v>
      </c>
      <c r="Q72" s="37">
        <v>67.58</v>
      </c>
      <c r="R72" s="37">
        <v>102.09</v>
      </c>
      <c r="S72" s="3">
        <v>60.2</v>
      </c>
      <c r="T72" s="1" t="s">
        <v>44</v>
      </c>
      <c r="U72" s="15">
        <v>3</v>
      </c>
    </row>
    <row r="73" spans="1:21" x14ac:dyDescent="0.3">
      <c r="A73" s="14" t="s">
        <v>181</v>
      </c>
      <c r="B73" s="46">
        <v>45321</v>
      </c>
      <c r="C73" s="4" t="s">
        <v>21</v>
      </c>
      <c r="D73" s="42" t="s">
        <v>1373</v>
      </c>
      <c r="E73" s="4">
        <v>2024</v>
      </c>
      <c r="F73" s="4" t="s">
        <v>41</v>
      </c>
      <c r="G73" s="61" t="s">
        <v>30</v>
      </c>
      <c r="H73" s="5" t="s">
        <v>24</v>
      </c>
      <c r="I73" s="5" t="s">
        <v>75</v>
      </c>
      <c r="J73" s="5" t="s">
        <v>149</v>
      </c>
      <c r="K73" s="4">
        <v>18</v>
      </c>
      <c r="L73" s="38">
        <v>151.96</v>
      </c>
      <c r="M73" s="6">
        <v>20</v>
      </c>
      <c r="N73" s="38">
        <v>2735.28</v>
      </c>
      <c r="O73" s="38">
        <v>547.05999999999995</v>
      </c>
      <c r="P73" s="54">
        <v>2188.2199999999998</v>
      </c>
      <c r="Q73" s="38">
        <v>910.82</v>
      </c>
      <c r="R73" s="38">
        <v>1277.4000000000001</v>
      </c>
      <c r="S73" s="6">
        <v>58.4</v>
      </c>
      <c r="T73" s="4" t="s">
        <v>27</v>
      </c>
      <c r="U73" s="16">
        <v>4</v>
      </c>
    </row>
    <row r="74" spans="1:21" x14ac:dyDescent="0.3">
      <c r="A74" s="13" t="s">
        <v>182</v>
      </c>
      <c r="B74" s="45">
        <v>45321</v>
      </c>
      <c r="C74" s="1" t="s">
        <v>21</v>
      </c>
      <c r="D74" s="41" t="s">
        <v>1373</v>
      </c>
      <c r="E74" s="1">
        <v>2024</v>
      </c>
      <c r="F74" s="1" t="s">
        <v>22</v>
      </c>
      <c r="G74" s="60" t="s">
        <v>66</v>
      </c>
      <c r="H74" s="2" t="s">
        <v>50</v>
      </c>
      <c r="I74" s="2" t="s">
        <v>25</v>
      </c>
      <c r="J74" s="2" t="s">
        <v>183</v>
      </c>
      <c r="K74" s="1">
        <v>6</v>
      </c>
      <c r="L74" s="37">
        <v>99.99</v>
      </c>
      <c r="M74" s="3">
        <v>0</v>
      </c>
      <c r="N74" s="37">
        <v>599.94000000000005</v>
      </c>
      <c r="O74" s="37">
        <v>0</v>
      </c>
      <c r="P74" s="53">
        <v>599.94000000000005</v>
      </c>
      <c r="Q74" s="37">
        <v>360.22</v>
      </c>
      <c r="R74" s="37">
        <v>239.72</v>
      </c>
      <c r="S74" s="3">
        <v>40</v>
      </c>
      <c r="T74" s="1" t="s">
        <v>44</v>
      </c>
      <c r="U74" s="15">
        <v>4</v>
      </c>
    </row>
    <row r="75" spans="1:21" x14ac:dyDescent="0.3">
      <c r="A75" s="14" t="s">
        <v>184</v>
      </c>
      <c r="B75" s="46">
        <v>45322</v>
      </c>
      <c r="C75" s="4" t="s">
        <v>21</v>
      </c>
      <c r="D75" s="42" t="s">
        <v>1373</v>
      </c>
      <c r="E75" s="4">
        <v>2024</v>
      </c>
      <c r="F75" s="4" t="s">
        <v>53</v>
      </c>
      <c r="G75" s="61" t="s">
        <v>66</v>
      </c>
      <c r="H75" s="5" t="s">
        <v>24</v>
      </c>
      <c r="I75" s="5" t="s">
        <v>55</v>
      </c>
      <c r="J75" s="5" t="s">
        <v>185</v>
      </c>
      <c r="K75" s="4">
        <v>16</v>
      </c>
      <c r="L75" s="38">
        <v>1004.94</v>
      </c>
      <c r="M75" s="6">
        <v>15</v>
      </c>
      <c r="N75" s="38">
        <v>16079.04</v>
      </c>
      <c r="O75" s="38">
        <v>2411.86</v>
      </c>
      <c r="P75" s="54">
        <v>13667.18</v>
      </c>
      <c r="Q75" s="38">
        <v>5580.28</v>
      </c>
      <c r="R75" s="38">
        <v>8086.9</v>
      </c>
      <c r="S75" s="6">
        <v>59.2</v>
      </c>
      <c r="T75" s="4" t="s">
        <v>33</v>
      </c>
      <c r="U75" s="16">
        <v>4</v>
      </c>
    </row>
    <row r="76" spans="1:21" x14ac:dyDescent="0.3">
      <c r="A76" s="13" t="s">
        <v>186</v>
      </c>
      <c r="B76" s="45">
        <v>45322</v>
      </c>
      <c r="C76" s="1" t="s">
        <v>21</v>
      </c>
      <c r="D76" s="41" t="s">
        <v>1373</v>
      </c>
      <c r="E76" s="1">
        <v>2024</v>
      </c>
      <c r="F76" s="1" t="s">
        <v>29</v>
      </c>
      <c r="G76" s="60" t="s">
        <v>54</v>
      </c>
      <c r="H76" s="2" t="s">
        <v>24</v>
      </c>
      <c r="I76" s="2" t="s">
        <v>75</v>
      </c>
      <c r="J76" s="2" t="s">
        <v>187</v>
      </c>
      <c r="K76" s="1">
        <v>10</v>
      </c>
      <c r="L76" s="37">
        <v>281.76</v>
      </c>
      <c r="M76" s="3">
        <v>15</v>
      </c>
      <c r="N76" s="37">
        <v>2817.6</v>
      </c>
      <c r="O76" s="37">
        <v>422.64</v>
      </c>
      <c r="P76" s="53">
        <v>2394.96</v>
      </c>
      <c r="Q76" s="37">
        <v>968.54</v>
      </c>
      <c r="R76" s="37">
        <v>1426.42</v>
      </c>
      <c r="S76" s="3">
        <v>59.6</v>
      </c>
      <c r="T76" s="1" t="s">
        <v>27</v>
      </c>
      <c r="U76" s="15">
        <v>4</v>
      </c>
    </row>
    <row r="77" spans="1:21" x14ac:dyDescent="0.3">
      <c r="A77" s="14" t="s">
        <v>188</v>
      </c>
      <c r="B77" s="46">
        <v>45322</v>
      </c>
      <c r="C77" s="4" t="s">
        <v>21</v>
      </c>
      <c r="D77" s="42" t="s">
        <v>1373</v>
      </c>
      <c r="E77" s="4">
        <v>2024</v>
      </c>
      <c r="F77" s="4" t="s">
        <v>53</v>
      </c>
      <c r="G77" s="61" t="s">
        <v>30</v>
      </c>
      <c r="H77" s="5" t="s">
        <v>59</v>
      </c>
      <c r="I77" s="5" t="s">
        <v>55</v>
      </c>
      <c r="J77" s="5" t="s">
        <v>189</v>
      </c>
      <c r="K77" s="4">
        <v>5</v>
      </c>
      <c r="L77" s="38">
        <v>1177.94</v>
      </c>
      <c r="M77" s="6">
        <v>15</v>
      </c>
      <c r="N77" s="38">
        <v>5889.7</v>
      </c>
      <c r="O77" s="38">
        <v>883.45</v>
      </c>
      <c r="P77" s="54">
        <v>5006.25</v>
      </c>
      <c r="Q77" s="38">
        <v>2953.18</v>
      </c>
      <c r="R77" s="38">
        <v>2053.0700000000002</v>
      </c>
      <c r="S77" s="6">
        <v>41</v>
      </c>
      <c r="T77" s="4" t="s">
        <v>27</v>
      </c>
      <c r="U77" s="16">
        <v>5</v>
      </c>
    </row>
    <row r="78" spans="1:21" x14ac:dyDescent="0.3">
      <c r="A78" s="13" t="s">
        <v>190</v>
      </c>
      <c r="B78" s="45">
        <v>45323</v>
      </c>
      <c r="C78" s="1" t="s">
        <v>191</v>
      </c>
      <c r="D78" s="41" t="s">
        <v>1373</v>
      </c>
      <c r="E78" s="1">
        <v>2024</v>
      </c>
      <c r="F78" s="1" t="s">
        <v>22</v>
      </c>
      <c r="G78" s="60" t="s">
        <v>58</v>
      </c>
      <c r="H78" s="2" t="s">
        <v>59</v>
      </c>
      <c r="I78" s="2" t="s">
        <v>47</v>
      </c>
      <c r="J78" s="2" t="s">
        <v>192</v>
      </c>
      <c r="K78" s="1">
        <v>6</v>
      </c>
      <c r="L78" s="37">
        <v>249.69</v>
      </c>
      <c r="M78" s="3">
        <v>0</v>
      </c>
      <c r="N78" s="37">
        <v>1498.14</v>
      </c>
      <c r="O78" s="37">
        <v>0</v>
      </c>
      <c r="P78" s="53">
        <v>1498.14</v>
      </c>
      <c r="Q78" s="37">
        <v>907.39</v>
      </c>
      <c r="R78" s="37">
        <v>590.75</v>
      </c>
      <c r="S78" s="3">
        <v>39.4</v>
      </c>
      <c r="T78" s="1" t="s">
        <v>44</v>
      </c>
      <c r="U78" s="15">
        <v>3</v>
      </c>
    </row>
    <row r="79" spans="1:21" x14ac:dyDescent="0.3">
      <c r="A79" s="14" t="s">
        <v>193</v>
      </c>
      <c r="B79" s="46">
        <v>45323</v>
      </c>
      <c r="C79" s="4" t="s">
        <v>191</v>
      </c>
      <c r="D79" s="42" t="s">
        <v>1373</v>
      </c>
      <c r="E79" s="4">
        <v>2024</v>
      </c>
      <c r="F79" s="4" t="s">
        <v>29</v>
      </c>
      <c r="G79" s="61" t="s">
        <v>91</v>
      </c>
      <c r="H79" s="5" t="s">
        <v>59</v>
      </c>
      <c r="I79" s="5" t="s">
        <v>47</v>
      </c>
      <c r="J79" s="5" t="s">
        <v>192</v>
      </c>
      <c r="K79" s="4">
        <v>11</v>
      </c>
      <c r="L79" s="38">
        <v>107.49</v>
      </c>
      <c r="M79" s="6">
        <v>5</v>
      </c>
      <c r="N79" s="38">
        <v>1182.3900000000001</v>
      </c>
      <c r="O79" s="38">
        <v>59.12</v>
      </c>
      <c r="P79" s="54">
        <v>1123.27</v>
      </c>
      <c r="Q79" s="38">
        <v>680.05</v>
      </c>
      <c r="R79" s="38">
        <v>443.22</v>
      </c>
      <c r="S79" s="6">
        <v>39.5</v>
      </c>
      <c r="T79" s="4" t="s">
        <v>33</v>
      </c>
      <c r="U79" s="16">
        <v>2</v>
      </c>
    </row>
    <row r="80" spans="1:21" x14ac:dyDescent="0.3">
      <c r="A80" s="13" t="s">
        <v>194</v>
      </c>
      <c r="B80" s="45">
        <v>45323</v>
      </c>
      <c r="C80" s="1" t="s">
        <v>191</v>
      </c>
      <c r="D80" s="41" t="s">
        <v>1373</v>
      </c>
      <c r="E80" s="1">
        <v>2024</v>
      </c>
      <c r="F80" s="1" t="s">
        <v>35</v>
      </c>
      <c r="G80" s="60" t="s">
        <v>23</v>
      </c>
      <c r="H80" s="2" t="s">
        <v>37</v>
      </c>
      <c r="I80" s="2" t="s">
        <v>47</v>
      </c>
      <c r="J80" s="2" t="s">
        <v>195</v>
      </c>
      <c r="K80" s="1">
        <v>15</v>
      </c>
      <c r="L80" s="37">
        <v>84.73</v>
      </c>
      <c r="M80" s="3">
        <v>5</v>
      </c>
      <c r="N80" s="37">
        <v>1270.95</v>
      </c>
      <c r="O80" s="37">
        <v>63.55</v>
      </c>
      <c r="P80" s="53">
        <v>1207.4000000000001</v>
      </c>
      <c r="Q80" s="37">
        <v>760.31</v>
      </c>
      <c r="R80" s="37">
        <v>447.09</v>
      </c>
      <c r="S80" s="3">
        <v>37</v>
      </c>
      <c r="T80" s="1" t="s">
        <v>33</v>
      </c>
      <c r="U80" s="15">
        <v>2</v>
      </c>
    </row>
    <row r="81" spans="1:21" x14ac:dyDescent="0.3">
      <c r="A81" s="14" t="s">
        <v>196</v>
      </c>
      <c r="B81" s="46">
        <v>45324</v>
      </c>
      <c r="C81" s="4" t="s">
        <v>191</v>
      </c>
      <c r="D81" s="42" t="s">
        <v>1373</v>
      </c>
      <c r="E81" s="4">
        <v>2024</v>
      </c>
      <c r="F81" s="4" t="s">
        <v>35</v>
      </c>
      <c r="G81" s="61" t="s">
        <v>46</v>
      </c>
      <c r="H81" s="5" t="s">
        <v>24</v>
      </c>
      <c r="I81" s="5" t="s">
        <v>55</v>
      </c>
      <c r="J81" s="5" t="s">
        <v>197</v>
      </c>
      <c r="K81" s="4">
        <v>20</v>
      </c>
      <c r="L81" s="38">
        <v>873.45</v>
      </c>
      <c r="M81" s="6">
        <v>20</v>
      </c>
      <c r="N81" s="38">
        <v>17469</v>
      </c>
      <c r="O81" s="38">
        <v>3493.8</v>
      </c>
      <c r="P81" s="54">
        <v>13975.2</v>
      </c>
      <c r="Q81" s="38">
        <v>9060.0400000000009</v>
      </c>
      <c r="R81" s="38">
        <v>4915.16</v>
      </c>
      <c r="S81" s="6">
        <v>35.200000000000003</v>
      </c>
      <c r="T81" s="4" t="s">
        <v>44</v>
      </c>
      <c r="U81" s="16">
        <v>4</v>
      </c>
    </row>
    <row r="82" spans="1:21" x14ac:dyDescent="0.3">
      <c r="A82" s="13" t="s">
        <v>198</v>
      </c>
      <c r="B82" s="45">
        <v>45324</v>
      </c>
      <c r="C82" s="1" t="s">
        <v>191</v>
      </c>
      <c r="D82" s="41" t="s">
        <v>1373</v>
      </c>
      <c r="E82" s="1">
        <v>2024</v>
      </c>
      <c r="F82" s="1" t="s">
        <v>29</v>
      </c>
      <c r="G82" s="60" t="s">
        <v>54</v>
      </c>
      <c r="H82" s="2" t="s">
        <v>50</v>
      </c>
      <c r="I82" s="2" t="s">
        <v>75</v>
      </c>
      <c r="J82" s="2" t="s">
        <v>87</v>
      </c>
      <c r="K82" s="1">
        <v>2</v>
      </c>
      <c r="L82" s="37">
        <v>378.85</v>
      </c>
      <c r="M82" s="3">
        <v>0</v>
      </c>
      <c r="N82" s="37">
        <v>757.7</v>
      </c>
      <c r="O82" s="37">
        <v>0</v>
      </c>
      <c r="P82" s="53">
        <v>757.7</v>
      </c>
      <c r="Q82" s="37">
        <v>370.05</v>
      </c>
      <c r="R82" s="37">
        <v>387.65</v>
      </c>
      <c r="S82" s="3">
        <v>51.2</v>
      </c>
      <c r="T82" s="1" t="s">
        <v>27</v>
      </c>
      <c r="U82" s="15">
        <v>4</v>
      </c>
    </row>
    <row r="83" spans="1:21" x14ac:dyDescent="0.3">
      <c r="A83" s="14" t="s">
        <v>199</v>
      </c>
      <c r="B83" s="46">
        <v>45324</v>
      </c>
      <c r="C83" s="4" t="s">
        <v>191</v>
      </c>
      <c r="D83" s="42" t="s">
        <v>1373</v>
      </c>
      <c r="E83" s="4">
        <v>2024</v>
      </c>
      <c r="F83" s="4" t="s">
        <v>35</v>
      </c>
      <c r="G83" s="61" t="s">
        <v>36</v>
      </c>
      <c r="H83" s="5" t="s">
        <v>24</v>
      </c>
      <c r="I83" s="5" t="s">
        <v>25</v>
      </c>
      <c r="J83" s="5" t="s">
        <v>200</v>
      </c>
      <c r="K83" s="4">
        <v>12</v>
      </c>
      <c r="L83" s="38">
        <v>15.18</v>
      </c>
      <c r="M83" s="6">
        <v>5</v>
      </c>
      <c r="N83" s="38">
        <v>182.16</v>
      </c>
      <c r="O83" s="38">
        <v>9.11</v>
      </c>
      <c r="P83" s="54">
        <v>173.05</v>
      </c>
      <c r="Q83" s="38">
        <v>89.1</v>
      </c>
      <c r="R83" s="38">
        <v>83.95</v>
      </c>
      <c r="S83" s="6">
        <v>48.5</v>
      </c>
      <c r="T83" s="4" t="s">
        <v>33</v>
      </c>
      <c r="U83" s="16">
        <v>5</v>
      </c>
    </row>
    <row r="84" spans="1:21" x14ac:dyDescent="0.3">
      <c r="A84" s="13" t="s">
        <v>201</v>
      </c>
      <c r="B84" s="45">
        <v>45325</v>
      </c>
      <c r="C84" s="1" t="s">
        <v>191</v>
      </c>
      <c r="D84" s="41" t="s">
        <v>1373</v>
      </c>
      <c r="E84" s="1">
        <v>2024</v>
      </c>
      <c r="F84" s="1" t="s">
        <v>29</v>
      </c>
      <c r="G84" s="60" t="s">
        <v>54</v>
      </c>
      <c r="H84" s="2" t="s">
        <v>24</v>
      </c>
      <c r="I84" s="2" t="s">
        <v>55</v>
      </c>
      <c r="J84" s="2" t="s">
        <v>202</v>
      </c>
      <c r="K84" s="1">
        <v>1</v>
      </c>
      <c r="L84" s="37">
        <v>281.83</v>
      </c>
      <c r="M84" s="3">
        <v>0</v>
      </c>
      <c r="N84" s="37">
        <v>281.83</v>
      </c>
      <c r="O84" s="37">
        <v>0</v>
      </c>
      <c r="P84" s="53">
        <v>281.83</v>
      </c>
      <c r="Q84" s="37">
        <v>123.21</v>
      </c>
      <c r="R84" s="37">
        <v>158.62</v>
      </c>
      <c r="S84" s="3">
        <v>56.3</v>
      </c>
      <c r="T84" s="1" t="s">
        <v>44</v>
      </c>
      <c r="U84" s="15">
        <v>4</v>
      </c>
    </row>
    <row r="85" spans="1:21" x14ac:dyDescent="0.3">
      <c r="A85" s="14" t="s">
        <v>203</v>
      </c>
      <c r="B85" s="46">
        <v>45325</v>
      </c>
      <c r="C85" s="4" t="s">
        <v>191</v>
      </c>
      <c r="D85" s="42" t="s">
        <v>1373</v>
      </c>
      <c r="E85" s="4">
        <v>2024</v>
      </c>
      <c r="F85" s="4" t="s">
        <v>53</v>
      </c>
      <c r="G85" s="61" t="s">
        <v>91</v>
      </c>
      <c r="H85" s="5" t="s">
        <v>59</v>
      </c>
      <c r="I85" s="5" t="s">
        <v>38</v>
      </c>
      <c r="J85" s="5" t="s">
        <v>204</v>
      </c>
      <c r="K85" s="4">
        <v>16</v>
      </c>
      <c r="L85" s="38">
        <v>64.33</v>
      </c>
      <c r="M85" s="6">
        <v>0</v>
      </c>
      <c r="N85" s="38">
        <v>1029.28</v>
      </c>
      <c r="O85" s="38">
        <v>0</v>
      </c>
      <c r="P85" s="54">
        <v>1029.28</v>
      </c>
      <c r="Q85" s="38">
        <v>381.05</v>
      </c>
      <c r="R85" s="38">
        <v>648.23</v>
      </c>
      <c r="S85" s="6">
        <v>63</v>
      </c>
      <c r="T85" s="4" t="s">
        <v>44</v>
      </c>
      <c r="U85" s="16">
        <v>5</v>
      </c>
    </row>
    <row r="86" spans="1:21" x14ac:dyDescent="0.3">
      <c r="A86" s="13" t="s">
        <v>205</v>
      </c>
      <c r="B86" s="45">
        <v>45326</v>
      </c>
      <c r="C86" s="1" t="s">
        <v>191</v>
      </c>
      <c r="D86" s="41" t="s">
        <v>1373</v>
      </c>
      <c r="E86" s="1">
        <v>2024</v>
      </c>
      <c r="F86" s="1" t="s">
        <v>53</v>
      </c>
      <c r="G86" s="60" t="s">
        <v>42</v>
      </c>
      <c r="H86" s="2" t="s">
        <v>37</v>
      </c>
      <c r="I86" s="2" t="s">
        <v>25</v>
      </c>
      <c r="J86" s="2" t="s">
        <v>94</v>
      </c>
      <c r="K86" s="1">
        <v>5</v>
      </c>
      <c r="L86" s="37">
        <v>134.01</v>
      </c>
      <c r="M86" s="3">
        <v>5</v>
      </c>
      <c r="N86" s="37">
        <v>670.05</v>
      </c>
      <c r="O86" s="37">
        <v>33.5</v>
      </c>
      <c r="P86" s="53">
        <v>636.54999999999995</v>
      </c>
      <c r="Q86" s="37">
        <v>241.55</v>
      </c>
      <c r="R86" s="37">
        <v>395</v>
      </c>
      <c r="S86" s="3">
        <v>62.1</v>
      </c>
      <c r="T86" s="1" t="s">
        <v>44</v>
      </c>
      <c r="U86" s="15">
        <v>5</v>
      </c>
    </row>
    <row r="87" spans="1:21" x14ac:dyDescent="0.3">
      <c r="A87" s="14" t="s">
        <v>206</v>
      </c>
      <c r="B87" s="46">
        <v>45326</v>
      </c>
      <c r="C87" s="4" t="s">
        <v>191</v>
      </c>
      <c r="D87" s="42" t="s">
        <v>1373</v>
      </c>
      <c r="E87" s="4">
        <v>2024</v>
      </c>
      <c r="F87" s="4" t="s">
        <v>22</v>
      </c>
      <c r="G87" s="61" t="s">
        <v>46</v>
      </c>
      <c r="H87" s="5" t="s">
        <v>50</v>
      </c>
      <c r="I87" s="5" t="s">
        <v>75</v>
      </c>
      <c r="J87" s="5" t="s">
        <v>207</v>
      </c>
      <c r="K87" s="4">
        <v>7</v>
      </c>
      <c r="L87" s="38">
        <v>143.35</v>
      </c>
      <c r="M87" s="6">
        <v>0</v>
      </c>
      <c r="N87" s="38">
        <v>1003.45</v>
      </c>
      <c r="O87" s="38">
        <v>0</v>
      </c>
      <c r="P87" s="54">
        <v>1003.45</v>
      </c>
      <c r="Q87" s="38">
        <v>569.64</v>
      </c>
      <c r="R87" s="38">
        <v>433.81</v>
      </c>
      <c r="S87" s="6">
        <v>43.2</v>
      </c>
      <c r="T87" s="4" t="s">
        <v>44</v>
      </c>
      <c r="U87" s="16">
        <v>4</v>
      </c>
    </row>
    <row r="88" spans="1:21" x14ac:dyDescent="0.3">
      <c r="A88" s="13" t="s">
        <v>208</v>
      </c>
      <c r="B88" s="45">
        <v>45327</v>
      </c>
      <c r="C88" s="1" t="s">
        <v>191</v>
      </c>
      <c r="D88" s="41" t="s">
        <v>1373</v>
      </c>
      <c r="E88" s="1">
        <v>2024</v>
      </c>
      <c r="F88" s="1" t="s">
        <v>53</v>
      </c>
      <c r="G88" s="60" t="s">
        <v>23</v>
      </c>
      <c r="H88" s="2" t="s">
        <v>50</v>
      </c>
      <c r="I88" s="2" t="s">
        <v>75</v>
      </c>
      <c r="J88" s="2" t="s">
        <v>137</v>
      </c>
      <c r="K88" s="1">
        <v>13</v>
      </c>
      <c r="L88" s="37">
        <v>141.28</v>
      </c>
      <c r="M88" s="3">
        <v>15</v>
      </c>
      <c r="N88" s="37">
        <v>1836.64</v>
      </c>
      <c r="O88" s="37">
        <v>275.5</v>
      </c>
      <c r="P88" s="53">
        <v>1561.14</v>
      </c>
      <c r="Q88" s="37">
        <v>774.57</v>
      </c>
      <c r="R88" s="37">
        <v>786.57</v>
      </c>
      <c r="S88" s="3">
        <v>50.4</v>
      </c>
      <c r="T88" s="1" t="s">
        <v>44</v>
      </c>
      <c r="U88" s="15">
        <v>5</v>
      </c>
    </row>
    <row r="89" spans="1:21" x14ac:dyDescent="0.3">
      <c r="A89" s="14" t="s">
        <v>209</v>
      </c>
      <c r="B89" s="46">
        <v>45327</v>
      </c>
      <c r="C89" s="4" t="s">
        <v>191</v>
      </c>
      <c r="D89" s="42" t="s">
        <v>1373</v>
      </c>
      <c r="E89" s="4">
        <v>2024</v>
      </c>
      <c r="F89" s="4" t="s">
        <v>53</v>
      </c>
      <c r="G89" s="61" t="s">
        <v>36</v>
      </c>
      <c r="H89" s="5" t="s">
        <v>59</v>
      </c>
      <c r="I89" s="5" t="s">
        <v>55</v>
      </c>
      <c r="J89" s="5" t="s">
        <v>210</v>
      </c>
      <c r="K89" s="4">
        <v>18</v>
      </c>
      <c r="L89" s="38">
        <v>507.96</v>
      </c>
      <c r="M89" s="6">
        <v>10</v>
      </c>
      <c r="N89" s="38">
        <v>9143.2800000000007</v>
      </c>
      <c r="O89" s="38">
        <v>914.33</v>
      </c>
      <c r="P89" s="54">
        <v>8228.9500000000007</v>
      </c>
      <c r="Q89" s="38">
        <v>3696.9</v>
      </c>
      <c r="R89" s="38">
        <v>4532.05</v>
      </c>
      <c r="S89" s="6">
        <v>55.1</v>
      </c>
      <c r="T89" s="4" t="s">
        <v>44</v>
      </c>
      <c r="U89" s="16">
        <v>5</v>
      </c>
    </row>
    <row r="90" spans="1:21" x14ac:dyDescent="0.3">
      <c r="A90" s="13" t="s">
        <v>211</v>
      </c>
      <c r="B90" s="45">
        <v>45327</v>
      </c>
      <c r="C90" s="1" t="s">
        <v>191</v>
      </c>
      <c r="D90" s="41" t="s">
        <v>1373</v>
      </c>
      <c r="E90" s="1">
        <v>2024</v>
      </c>
      <c r="F90" s="1" t="s">
        <v>22</v>
      </c>
      <c r="G90" s="60" t="s">
        <v>54</v>
      </c>
      <c r="H90" s="2" t="s">
        <v>50</v>
      </c>
      <c r="I90" s="2" t="s">
        <v>31</v>
      </c>
      <c r="J90" s="2" t="s">
        <v>62</v>
      </c>
      <c r="K90" s="1">
        <v>17</v>
      </c>
      <c r="L90" s="37">
        <v>165.85</v>
      </c>
      <c r="M90" s="3">
        <v>20</v>
      </c>
      <c r="N90" s="37">
        <v>2819.45</v>
      </c>
      <c r="O90" s="37">
        <v>563.89</v>
      </c>
      <c r="P90" s="53">
        <v>2255.56</v>
      </c>
      <c r="Q90" s="37">
        <v>876.21</v>
      </c>
      <c r="R90" s="37">
        <v>1379.35</v>
      </c>
      <c r="S90" s="3">
        <v>61.2</v>
      </c>
      <c r="T90" s="1" t="s">
        <v>33</v>
      </c>
      <c r="U90" s="15">
        <v>2</v>
      </c>
    </row>
    <row r="91" spans="1:21" x14ac:dyDescent="0.3">
      <c r="A91" s="14" t="s">
        <v>212</v>
      </c>
      <c r="B91" s="46">
        <v>45327</v>
      </c>
      <c r="C91" s="4" t="s">
        <v>191</v>
      </c>
      <c r="D91" s="42" t="s">
        <v>1373</v>
      </c>
      <c r="E91" s="4">
        <v>2024</v>
      </c>
      <c r="F91" s="4" t="s">
        <v>41</v>
      </c>
      <c r="G91" s="61" t="s">
        <v>58</v>
      </c>
      <c r="H91" s="5" t="s">
        <v>24</v>
      </c>
      <c r="I91" s="5" t="s">
        <v>25</v>
      </c>
      <c r="J91" s="5" t="s">
        <v>213</v>
      </c>
      <c r="K91" s="4">
        <v>16</v>
      </c>
      <c r="L91" s="38">
        <v>76.28</v>
      </c>
      <c r="M91" s="6">
        <v>10</v>
      </c>
      <c r="N91" s="38">
        <v>1220.48</v>
      </c>
      <c r="O91" s="38">
        <v>122.05</v>
      </c>
      <c r="P91" s="54">
        <v>1098.43</v>
      </c>
      <c r="Q91" s="38">
        <v>600.45000000000005</v>
      </c>
      <c r="R91" s="38">
        <v>497.98</v>
      </c>
      <c r="S91" s="6">
        <v>45.3</v>
      </c>
      <c r="T91" s="4" t="s">
        <v>33</v>
      </c>
      <c r="U91" s="16">
        <v>4</v>
      </c>
    </row>
    <row r="92" spans="1:21" x14ac:dyDescent="0.3">
      <c r="A92" s="13" t="s">
        <v>214</v>
      </c>
      <c r="B92" s="45">
        <v>45327</v>
      </c>
      <c r="C92" s="1" t="s">
        <v>191</v>
      </c>
      <c r="D92" s="41" t="s">
        <v>1373</v>
      </c>
      <c r="E92" s="1">
        <v>2024</v>
      </c>
      <c r="F92" s="1" t="s">
        <v>41</v>
      </c>
      <c r="G92" s="60" t="s">
        <v>66</v>
      </c>
      <c r="H92" s="2" t="s">
        <v>24</v>
      </c>
      <c r="I92" s="2" t="s">
        <v>47</v>
      </c>
      <c r="J92" s="2" t="s">
        <v>64</v>
      </c>
      <c r="K92" s="1">
        <v>14</v>
      </c>
      <c r="L92" s="37">
        <v>37.58</v>
      </c>
      <c r="M92" s="3">
        <v>5</v>
      </c>
      <c r="N92" s="37">
        <v>526.12</v>
      </c>
      <c r="O92" s="37">
        <v>26.31</v>
      </c>
      <c r="P92" s="53">
        <v>499.81</v>
      </c>
      <c r="Q92" s="37">
        <v>189.93</v>
      </c>
      <c r="R92" s="37">
        <v>309.88</v>
      </c>
      <c r="S92" s="3">
        <v>62</v>
      </c>
      <c r="T92" s="1" t="s">
        <v>27</v>
      </c>
      <c r="U92" s="15">
        <v>1</v>
      </c>
    </row>
    <row r="93" spans="1:21" x14ac:dyDescent="0.3">
      <c r="A93" s="14" t="s">
        <v>215</v>
      </c>
      <c r="B93" s="46">
        <v>45327</v>
      </c>
      <c r="C93" s="4" t="s">
        <v>191</v>
      </c>
      <c r="D93" s="42" t="s">
        <v>1373</v>
      </c>
      <c r="E93" s="4">
        <v>2024</v>
      </c>
      <c r="F93" s="4" t="s">
        <v>29</v>
      </c>
      <c r="G93" s="61" t="s">
        <v>58</v>
      </c>
      <c r="H93" s="5" t="s">
        <v>59</v>
      </c>
      <c r="I93" s="5" t="s">
        <v>25</v>
      </c>
      <c r="J93" s="5" t="s">
        <v>216</v>
      </c>
      <c r="K93" s="4">
        <v>16</v>
      </c>
      <c r="L93" s="38">
        <v>100.57</v>
      </c>
      <c r="M93" s="6">
        <v>10</v>
      </c>
      <c r="N93" s="38">
        <v>1609.12</v>
      </c>
      <c r="O93" s="38">
        <v>160.91</v>
      </c>
      <c r="P93" s="54">
        <v>1448.21</v>
      </c>
      <c r="Q93" s="38">
        <v>776.03</v>
      </c>
      <c r="R93" s="38">
        <v>672.18</v>
      </c>
      <c r="S93" s="6">
        <v>46.4</v>
      </c>
      <c r="T93" s="4" t="s">
        <v>44</v>
      </c>
      <c r="U93" s="16">
        <v>5</v>
      </c>
    </row>
    <row r="94" spans="1:21" x14ac:dyDescent="0.3">
      <c r="A94" s="13" t="s">
        <v>217</v>
      </c>
      <c r="B94" s="45">
        <v>45327</v>
      </c>
      <c r="C94" s="1" t="s">
        <v>191</v>
      </c>
      <c r="D94" s="41" t="s">
        <v>1373</v>
      </c>
      <c r="E94" s="1">
        <v>2024</v>
      </c>
      <c r="F94" s="1" t="s">
        <v>41</v>
      </c>
      <c r="G94" s="60" t="s">
        <v>54</v>
      </c>
      <c r="H94" s="2" t="s">
        <v>37</v>
      </c>
      <c r="I94" s="2" t="s">
        <v>75</v>
      </c>
      <c r="J94" s="2" t="s">
        <v>177</v>
      </c>
      <c r="K94" s="1">
        <v>14</v>
      </c>
      <c r="L94" s="37">
        <v>132.29</v>
      </c>
      <c r="M94" s="3">
        <v>0</v>
      </c>
      <c r="N94" s="37">
        <v>1852.06</v>
      </c>
      <c r="O94" s="37">
        <v>0</v>
      </c>
      <c r="P94" s="53">
        <v>1852.06</v>
      </c>
      <c r="Q94" s="37">
        <v>1148.3399999999999</v>
      </c>
      <c r="R94" s="37">
        <v>703.72</v>
      </c>
      <c r="S94" s="3">
        <v>38</v>
      </c>
      <c r="T94" s="1" t="s">
        <v>44</v>
      </c>
      <c r="U94" s="15">
        <v>4</v>
      </c>
    </row>
    <row r="95" spans="1:21" x14ac:dyDescent="0.3">
      <c r="A95" s="14" t="s">
        <v>218</v>
      </c>
      <c r="B95" s="46">
        <v>45327</v>
      </c>
      <c r="C95" s="4" t="s">
        <v>191</v>
      </c>
      <c r="D95" s="42" t="s">
        <v>1373</v>
      </c>
      <c r="E95" s="4">
        <v>2024</v>
      </c>
      <c r="F95" s="4" t="s">
        <v>41</v>
      </c>
      <c r="G95" s="61" t="s">
        <v>46</v>
      </c>
      <c r="H95" s="5" t="s">
        <v>24</v>
      </c>
      <c r="I95" s="5" t="s">
        <v>38</v>
      </c>
      <c r="J95" s="5" t="s">
        <v>219</v>
      </c>
      <c r="K95" s="4">
        <v>15</v>
      </c>
      <c r="L95" s="38">
        <v>69.66</v>
      </c>
      <c r="M95" s="6">
        <v>0</v>
      </c>
      <c r="N95" s="38">
        <v>1044.9000000000001</v>
      </c>
      <c r="O95" s="38">
        <v>0</v>
      </c>
      <c r="P95" s="54">
        <v>1044.9000000000001</v>
      </c>
      <c r="Q95" s="38">
        <v>465.33</v>
      </c>
      <c r="R95" s="38">
        <v>579.57000000000005</v>
      </c>
      <c r="S95" s="6">
        <v>55.5</v>
      </c>
      <c r="T95" s="4" t="s">
        <v>44</v>
      </c>
      <c r="U95" s="16">
        <v>5</v>
      </c>
    </row>
    <row r="96" spans="1:21" x14ac:dyDescent="0.3">
      <c r="A96" s="13" t="s">
        <v>220</v>
      </c>
      <c r="B96" s="45">
        <v>45328</v>
      </c>
      <c r="C96" s="1" t="s">
        <v>191</v>
      </c>
      <c r="D96" s="41" t="s">
        <v>1373</v>
      </c>
      <c r="E96" s="1">
        <v>2024</v>
      </c>
      <c r="F96" s="1" t="s">
        <v>41</v>
      </c>
      <c r="G96" s="60" t="s">
        <v>58</v>
      </c>
      <c r="H96" s="2" t="s">
        <v>37</v>
      </c>
      <c r="I96" s="2" t="s">
        <v>75</v>
      </c>
      <c r="J96" s="2" t="s">
        <v>221</v>
      </c>
      <c r="K96" s="1">
        <v>16</v>
      </c>
      <c r="L96" s="37">
        <v>42.93</v>
      </c>
      <c r="M96" s="3">
        <v>10</v>
      </c>
      <c r="N96" s="37">
        <v>686.88</v>
      </c>
      <c r="O96" s="37">
        <v>68.69</v>
      </c>
      <c r="P96" s="53">
        <v>618.19000000000005</v>
      </c>
      <c r="Q96" s="37">
        <v>299.94</v>
      </c>
      <c r="R96" s="37">
        <v>318.25</v>
      </c>
      <c r="S96" s="3">
        <v>51.5</v>
      </c>
      <c r="T96" s="1" t="s">
        <v>44</v>
      </c>
      <c r="U96" s="15">
        <v>5</v>
      </c>
    </row>
    <row r="97" spans="1:21" x14ac:dyDescent="0.3">
      <c r="A97" s="14" t="s">
        <v>222</v>
      </c>
      <c r="B97" s="46">
        <v>45328</v>
      </c>
      <c r="C97" s="4" t="s">
        <v>191</v>
      </c>
      <c r="D97" s="42" t="s">
        <v>1373</v>
      </c>
      <c r="E97" s="4">
        <v>2024</v>
      </c>
      <c r="F97" s="4" t="s">
        <v>53</v>
      </c>
      <c r="G97" s="61" t="s">
        <v>30</v>
      </c>
      <c r="H97" s="5" t="s">
        <v>37</v>
      </c>
      <c r="I97" s="5" t="s">
        <v>55</v>
      </c>
      <c r="J97" s="5" t="s">
        <v>223</v>
      </c>
      <c r="K97" s="4">
        <v>6</v>
      </c>
      <c r="L97" s="38">
        <v>804.09</v>
      </c>
      <c r="M97" s="6">
        <v>15</v>
      </c>
      <c r="N97" s="38">
        <v>4824.54</v>
      </c>
      <c r="O97" s="38">
        <v>723.68</v>
      </c>
      <c r="P97" s="54">
        <v>4100.8599999999997</v>
      </c>
      <c r="Q97" s="38">
        <v>2193.56</v>
      </c>
      <c r="R97" s="38">
        <v>1907.3</v>
      </c>
      <c r="S97" s="6">
        <v>46.5</v>
      </c>
      <c r="T97" s="4" t="s">
        <v>44</v>
      </c>
      <c r="U97" s="16">
        <v>2</v>
      </c>
    </row>
    <row r="98" spans="1:21" x14ac:dyDescent="0.3">
      <c r="A98" s="13" t="s">
        <v>224</v>
      </c>
      <c r="B98" s="45">
        <v>45328</v>
      </c>
      <c r="C98" s="1" t="s">
        <v>191</v>
      </c>
      <c r="D98" s="41" t="s">
        <v>1373</v>
      </c>
      <c r="E98" s="1">
        <v>2024</v>
      </c>
      <c r="F98" s="1" t="s">
        <v>41</v>
      </c>
      <c r="G98" s="60" t="s">
        <v>91</v>
      </c>
      <c r="H98" s="2" t="s">
        <v>50</v>
      </c>
      <c r="I98" s="2" t="s">
        <v>31</v>
      </c>
      <c r="J98" s="2" t="s">
        <v>225</v>
      </c>
      <c r="K98" s="1">
        <v>3</v>
      </c>
      <c r="L98" s="37">
        <v>65.55</v>
      </c>
      <c r="M98" s="3">
        <v>20</v>
      </c>
      <c r="N98" s="37">
        <v>196.65</v>
      </c>
      <c r="O98" s="37">
        <v>39.33</v>
      </c>
      <c r="P98" s="53">
        <v>157.32</v>
      </c>
      <c r="Q98" s="37">
        <v>69.489999999999995</v>
      </c>
      <c r="R98" s="37">
        <v>87.83</v>
      </c>
      <c r="S98" s="3">
        <v>55.8</v>
      </c>
      <c r="T98" s="1" t="s">
        <v>33</v>
      </c>
      <c r="U98" s="15">
        <v>1</v>
      </c>
    </row>
    <row r="99" spans="1:21" x14ac:dyDescent="0.3">
      <c r="A99" s="14" t="s">
        <v>226</v>
      </c>
      <c r="B99" s="46">
        <v>45328</v>
      </c>
      <c r="C99" s="4" t="s">
        <v>191</v>
      </c>
      <c r="D99" s="42" t="s">
        <v>1373</v>
      </c>
      <c r="E99" s="4">
        <v>2024</v>
      </c>
      <c r="F99" s="4" t="s">
        <v>53</v>
      </c>
      <c r="G99" s="61" t="s">
        <v>122</v>
      </c>
      <c r="H99" s="5" t="s">
        <v>24</v>
      </c>
      <c r="I99" s="5" t="s">
        <v>47</v>
      </c>
      <c r="J99" s="5" t="s">
        <v>227</v>
      </c>
      <c r="K99" s="4">
        <v>19</v>
      </c>
      <c r="L99" s="38">
        <v>403.68</v>
      </c>
      <c r="M99" s="6">
        <v>20</v>
      </c>
      <c r="N99" s="38">
        <v>7669.92</v>
      </c>
      <c r="O99" s="38">
        <v>1533.98</v>
      </c>
      <c r="P99" s="54">
        <v>6135.94</v>
      </c>
      <c r="Q99" s="38">
        <v>3222.91</v>
      </c>
      <c r="R99" s="38">
        <v>2913.03</v>
      </c>
      <c r="S99" s="6">
        <v>47.5</v>
      </c>
      <c r="T99" s="4" t="s">
        <v>33</v>
      </c>
      <c r="U99" s="16">
        <v>2</v>
      </c>
    </row>
    <row r="100" spans="1:21" x14ac:dyDescent="0.3">
      <c r="A100" s="13" t="s">
        <v>228</v>
      </c>
      <c r="B100" s="45">
        <v>45329</v>
      </c>
      <c r="C100" s="1" t="s">
        <v>191</v>
      </c>
      <c r="D100" s="41" t="s">
        <v>1373</v>
      </c>
      <c r="E100" s="1">
        <v>2024</v>
      </c>
      <c r="F100" s="1" t="s">
        <v>53</v>
      </c>
      <c r="G100" s="60" t="s">
        <v>23</v>
      </c>
      <c r="H100" s="2" t="s">
        <v>50</v>
      </c>
      <c r="I100" s="2" t="s">
        <v>25</v>
      </c>
      <c r="J100" s="2" t="s">
        <v>125</v>
      </c>
      <c r="K100" s="1">
        <v>1</v>
      </c>
      <c r="L100" s="37">
        <v>71.17</v>
      </c>
      <c r="M100" s="3">
        <v>0</v>
      </c>
      <c r="N100" s="37">
        <v>71.17</v>
      </c>
      <c r="O100" s="37">
        <v>0</v>
      </c>
      <c r="P100" s="53">
        <v>71.17</v>
      </c>
      <c r="Q100" s="37">
        <v>36.979999999999997</v>
      </c>
      <c r="R100" s="37">
        <v>34.19</v>
      </c>
      <c r="S100" s="3">
        <v>48</v>
      </c>
      <c r="T100" s="1" t="s">
        <v>44</v>
      </c>
      <c r="U100" s="15">
        <v>3</v>
      </c>
    </row>
    <row r="101" spans="1:21" x14ac:dyDescent="0.3">
      <c r="A101" s="14" t="s">
        <v>229</v>
      </c>
      <c r="B101" s="46">
        <v>45329</v>
      </c>
      <c r="C101" s="4" t="s">
        <v>191</v>
      </c>
      <c r="D101" s="42" t="s">
        <v>1373</v>
      </c>
      <c r="E101" s="4">
        <v>2024</v>
      </c>
      <c r="F101" s="4" t="s">
        <v>22</v>
      </c>
      <c r="G101" s="61" t="s">
        <v>66</v>
      </c>
      <c r="H101" s="5" t="s">
        <v>59</v>
      </c>
      <c r="I101" s="5" t="s">
        <v>31</v>
      </c>
      <c r="J101" s="5" t="s">
        <v>230</v>
      </c>
      <c r="K101" s="4">
        <v>8</v>
      </c>
      <c r="L101" s="38">
        <v>89</v>
      </c>
      <c r="M101" s="6">
        <v>10</v>
      </c>
      <c r="N101" s="38">
        <v>712</v>
      </c>
      <c r="O101" s="38">
        <v>71.2</v>
      </c>
      <c r="P101" s="54">
        <v>640.79999999999995</v>
      </c>
      <c r="Q101" s="38">
        <v>294.35000000000002</v>
      </c>
      <c r="R101" s="38">
        <v>346.45</v>
      </c>
      <c r="S101" s="6">
        <v>54.1</v>
      </c>
      <c r="T101" s="4" t="s">
        <v>44</v>
      </c>
      <c r="U101" s="16">
        <v>1</v>
      </c>
    </row>
    <row r="102" spans="1:21" x14ac:dyDescent="0.3">
      <c r="A102" s="13" t="s">
        <v>231</v>
      </c>
      <c r="B102" s="45">
        <v>45329</v>
      </c>
      <c r="C102" s="1" t="s">
        <v>191</v>
      </c>
      <c r="D102" s="41" t="s">
        <v>1373</v>
      </c>
      <c r="E102" s="1">
        <v>2024</v>
      </c>
      <c r="F102" s="1" t="s">
        <v>29</v>
      </c>
      <c r="G102" s="60" t="s">
        <v>42</v>
      </c>
      <c r="H102" s="2" t="s">
        <v>24</v>
      </c>
      <c r="I102" s="2" t="s">
        <v>47</v>
      </c>
      <c r="J102" s="2" t="s">
        <v>227</v>
      </c>
      <c r="K102" s="1">
        <v>10</v>
      </c>
      <c r="L102" s="37">
        <v>231.07</v>
      </c>
      <c r="M102" s="3">
        <v>15</v>
      </c>
      <c r="N102" s="37">
        <v>2310.6999999999998</v>
      </c>
      <c r="O102" s="37">
        <v>346.6</v>
      </c>
      <c r="P102" s="53">
        <v>1964.1</v>
      </c>
      <c r="Q102" s="37">
        <v>873.83</v>
      </c>
      <c r="R102" s="37">
        <v>1090.27</v>
      </c>
      <c r="S102" s="3">
        <v>55.5</v>
      </c>
      <c r="T102" s="1" t="s">
        <v>27</v>
      </c>
      <c r="U102" s="15">
        <v>2</v>
      </c>
    </row>
    <row r="103" spans="1:21" x14ac:dyDescent="0.3">
      <c r="A103" s="14" t="s">
        <v>232</v>
      </c>
      <c r="B103" s="46">
        <v>45329</v>
      </c>
      <c r="C103" s="4" t="s">
        <v>191</v>
      </c>
      <c r="D103" s="42" t="s">
        <v>1373</v>
      </c>
      <c r="E103" s="4">
        <v>2024</v>
      </c>
      <c r="F103" s="4" t="s">
        <v>22</v>
      </c>
      <c r="G103" s="61" t="s">
        <v>36</v>
      </c>
      <c r="H103" s="5" t="s">
        <v>59</v>
      </c>
      <c r="I103" s="5" t="s">
        <v>75</v>
      </c>
      <c r="J103" s="5" t="s">
        <v>233</v>
      </c>
      <c r="K103" s="4">
        <v>2</v>
      </c>
      <c r="L103" s="38">
        <v>383.68</v>
      </c>
      <c r="M103" s="6">
        <v>10</v>
      </c>
      <c r="N103" s="38">
        <v>767.36</v>
      </c>
      <c r="O103" s="38">
        <v>76.739999999999995</v>
      </c>
      <c r="P103" s="54">
        <v>690.62</v>
      </c>
      <c r="Q103" s="38">
        <v>330.46</v>
      </c>
      <c r="R103" s="38">
        <v>360.16</v>
      </c>
      <c r="S103" s="6">
        <v>52.2</v>
      </c>
      <c r="T103" s="4" t="s">
        <v>44</v>
      </c>
      <c r="U103" s="16">
        <v>1</v>
      </c>
    </row>
    <row r="104" spans="1:21" x14ac:dyDescent="0.3">
      <c r="A104" s="13" t="s">
        <v>234</v>
      </c>
      <c r="B104" s="45">
        <v>45330</v>
      </c>
      <c r="C104" s="1" t="s">
        <v>191</v>
      </c>
      <c r="D104" s="41" t="s">
        <v>1373</v>
      </c>
      <c r="E104" s="1">
        <v>2024</v>
      </c>
      <c r="F104" s="1" t="s">
        <v>35</v>
      </c>
      <c r="G104" s="60" t="s">
        <v>36</v>
      </c>
      <c r="H104" s="2" t="s">
        <v>50</v>
      </c>
      <c r="I104" s="2" t="s">
        <v>38</v>
      </c>
      <c r="J104" s="2" t="s">
        <v>120</v>
      </c>
      <c r="K104" s="1">
        <v>9</v>
      </c>
      <c r="L104" s="37">
        <v>30.43</v>
      </c>
      <c r="M104" s="3">
        <v>10</v>
      </c>
      <c r="N104" s="37">
        <v>273.87</v>
      </c>
      <c r="O104" s="37">
        <v>27.39</v>
      </c>
      <c r="P104" s="53">
        <v>246.48</v>
      </c>
      <c r="Q104" s="37">
        <v>86.63</v>
      </c>
      <c r="R104" s="37">
        <v>159.85</v>
      </c>
      <c r="S104" s="3">
        <v>64.900000000000006</v>
      </c>
      <c r="T104" s="1" t="s">
        <v>27</v>
      </c>
      <c r="U104" s="15">
        <v>3</v>
      </c>
    </row>
    <row r="105" spans="1:21" x14ac:dyDescent="0.3">
      <c r="A105" s="14" t="s">
        <v>235</v>
      </c>
      <c r="B105" s="46">
        <v>45330</v>
      </c>
      <c r="C105" s="4" t="s">
        <v>191</v>
      </c>
      <c r="D105" s="42" t="s">
        <v>1373</v>
      </c>
      <c r="E105" s="4">
        <v>2024</v>
      </c>
      <c r="F105" s="4" t="s">
        <v>53</v>
      </c>
      <c r="G105" s="61" t="s">
        <v>30</v>
      </c>
      <c r="H105" s="5" t="s">
        <v>50</v>
      </c>
      <c r="I105" s="5" t="s">
        <v>75</v>
      </c>
      <c r="J105" s="5" t="s">
        <v>236</v>
      </c>
      <c r="K105" s="4">
        <v>8</v>
      </c>
      <c r="L105" s="38">
        <v>95.06</v>
      </c>
      <c r="M105" s="6">
        <v>0</v>
      </c>
      <c r="N105" s="38">
        <v>760.48</v>
      </c>
      <c r="O105" s="38">
        <v>0</v>
      </c>
      <c r="P105" s="54">
        <v>760.48</v>
      </c>
      <c r="Q105" s="38">
        <v>322.33</v>
      </c>
      <c r="R105" s="38">
        <v>438.15</v>
      </c>
      <c r="S105" s="6">
        <v>57.6</v>
      </c>
      <c r="T105" s="4" t="s">
        <v>44</v>
      </c>
      <c r="U105" s="16">
        <v>5</v>
      </c>
    </row>
    <row r="106" spans="1:21" x14ac:dyDescent="0.3">
      <c r="A106" s="13" t="s">
        <v>237</v>
      </c>
      <c r="B106" s="45">
        <v>45330</v>
      </c>
      <c r="C106" s="1" t="s">
        <v>191</v>
      </c>
      <c r="D106" s="41" t="s">
        <v>1373</v>
      </c>
      <c r="E106" s="1">
        <v>2024</v>
      </c>
      <c r="F106" s="1" t="s">
        <v>41</v>
      </c>
      <c r="G106" s="60" t="s">
        <v>42</v>
      </c>
      <c r="H106" s="2" t="s">
        <v>50</v>
      </c>
      <c r="I106" s="2" t="s">
        <v>55</v>
      </c>
      <c r="J106" s="2" t="s">
        <v>210</v>
      </c>
      <c r="K106" s="1">
        <v>18</v>
      </c>
      <c r="L106" s="37">
        <v>845.88</v>
      </c>
      <c r="M106" s="3">
        <v>0</v>
      </c>
      <c r="N106" s="37">
        <v>15225.84</v>
      </c>
      <c r="O106" s="37">
        <v>0</v>
      </c>
      <c r="P106" s="53">
        <v>15225.84</v>
      </c>
      <c r="Q106" s="37">
        <v>6340.92</v>
      </c>
      <c r="R106" s="37">
        <v>8884.92</v>
      </c>
      <c r="S106" s="3">
        <v>58.4</v>
      </c>
      <c r="T106" s="1" t="s">
        <v>44</v>
      </c>
      <c r="U106" s="15">
        <v>4</v>
      </c>
    </row>
    <row r="107" spans="1:21" x14ac:dyDescent="0.3">
      <c r="A107" s="14" t="s">
        <v>238</v>
      </c>
      <c r="B107" s="46">
        <v>45330</v>
      </c>
      <c r="C107" s="4" t="s">
        <v>191</v>
      </c>
      <c r="D107" s="42" t="s">
        <v>1373</v>
      </c>
      <c r="E107" s="4">
        <v>2024</v>
      </c>
      <c r="F107" s="4" t="s">
        <v>41</v>
      </c>
      <c r="G107" s="61" t="s">
        <v>30</v>
      </c>
      <c r="H107" s="5" t="s">
        <v>24</v>
      </c>
      <c r="I107" s="5" t="s">
        <v>55</v>
      </c>
      <c r="J107" s="5" t="s">
        <v>239</v>
      </c>
      <c r="K107" s="4">
        <v>10</v>
      </c>
      <c r="L107" s="38">
        <v>472.45</v>
      </c>
      <c r="M107" s="6">
        <v>15</v>
      </c>
      <c r="N107" s="38">
        <v>4724.5</v>
      </c>
      <c r="O107" s="38">
        <v>708.67</v>
      </c>
      <c r="P107" s="54">
        <v>4015.83</v>
      </c>
      <c r="Q107" s="38">
        <v>2296.83</v>
      </c>
      <c r="R107" s="38">
        <v>1719</v>
      </c>
      <c r="S107" s="6">
        <v>42.8</v>
      </c>
      <c r="T107" s="4" t="s">
        <v>44</v>
      </c>
      <c r="U107" s="16">
        <v>2</v>
      </c>
    </row>
    <row r="108" spans="1:21" x14ac:dyDescent="0.3">
      <c r="A108" s="13" t="s">
        <v>240</v>
      </c>
      <c r="B108" s="45">
        <v>45331</v>
      </c>
      <c r="C108" s="1" t="s">
        <v>191</v>
      </c>
      <c r="D108" s="41" t="s">
        <v>1373</v>
      </c>
      <c r="E108" s="1">
        <v>2024</v>
      </c>
      <c r="F108" s="1" t="s">
        <v>35</v>
      </c>
      <c r="G108" s="60" t="s">
        <v>58</v>
      </c>
      <c r="H108" s="2" t="s">
        <v>50</v>
      </c>
      <c r="I108" s="2" t="s">
        <v>38</v>
      </c>
      <c r="J108" s="2" t="s">
        <v>241</v>
      </c>
      <c r="K108" s="1">
        <v>6</v>
      </c>
      <c r="L108" s="37">
        <v>64.8</v>
      </c>
      <c r="M108" s="3">
        <v>0</v>
      </c>
      <c r="N108" s="37">
        <v>388.8</v>
      </c>
      <c r="O108" s="37">
        <v>0</v>
      </c>
      <c r="P108" s="53">
        <v>388.8</v>
      </c>
      <c r="Q108" s="37">
        <v>186.95</v>
      </c>
      <c r="R108" s="37">
        <v>201.85</v>
      </c>
      <c r="S108" s="3">
        <v>51.9</v>
      </c>
      <c r="T108" s="1" t="s">
        <v>33</v>
      </c>
      <c r="U108" s="15">
        <v>1</v>
      </c>
    </row>
    <row r="109" spans="1:21" x14ac:dyDescent="0.3">
      <c r="A109" s="14" t="s">
        <v>242</v>
      </c>
      <c r="B109" s="46">
        <v>45332</v>
      </c>
      <c r="C109" s="4" t="s">
        <v>191</v>
      </c>
      <c r="D109" s="42" t="s">
        <v>1373</v>
      </c>
      <c r="E109" s="4">
        <v>2024</v>
      </c>
      <c r="F109" s="4" t="s">
        <v>29</v>
      </c>
      <c r="G109" s="61" t="s">
        <v>122</v>
      </c>
      <c r="H109" s="5" t="s">
        <v>59</v>
      </c>
      <c r="I109" s="5" t="s">
        <v>25</v>
      </c>
      <c r="J109" s="5" t="s">
        <v>243</v>
      </c>
      <c r="K109" s="4">
        <v>15</v>
      </c>
      <c r="L109" s="38">
        <v>47.34</v>
      </c>
      <c r="M109" s="6">
        <v>5</v>
      </c>
      <c r="N109" s="38">
        <v>710.1</v>
      </c>
      <c r="O109" s="38">
        <v>35.51</v>
      </c>
      <c r="P109" s="54">
        <v>674.59</v>
      </c>
      <c r="Q109" s="38">
        <v>406.13</v>
      </c>
      <c r="R109" s="38">
        <v>268.45999999999998</v>
      </c>
      <c r="S109" s="6">
        <v>39.799999999999997</v>
      </c>
      <c r="T109" s="4" t="s">
        <v>27</v>
      </c>
      <c r="U109" s="16">
        <v>1</v>
      </c>
    </row>
    <row r="110" spans="1:21" x14ac:dyDescent="0.3">
      <c r="A110" s="13" t="s">
        <v>244</v>
      </c>
      <c r="B110" s="45">
        <v>45332</v>
      </c>
      <c r="C110" s="1" t="s">
        <v>191</v>
      </c>
      <c r="D110" s="41" t="s">
        <v>1373</v>
      </c>
      <c r="E110" s="1">
        <v>2024</v>
      </c>
      <c r="F110" s="1" t="s">
        <v>53</v>
      </c>
      <c r="G110" s="60" t="s">
        <v>42</v>
      </c>
      <c r="H110" s="2" t="s">
        <v>37</v>
      </c>
      <c r="I110" s="2" t="s">
        <v>31</v>
      </c>
      <c r="J110" s="2" t="s">
        <v>245</v>
      </c>
      <c r="K110" s="1">
        <v>19</v>
      </c>
      <c r="L110" s="37">
        <v>30.28</v>
      </c>
      <c r="M110" s="3">
        <v>0</v>
      </c>
      <c r="N110" s="37">
        <v>575.32000000000005</v>
      </c>
      <c r="O110" s="37">
        <v>0</v>
      </c>
      <c r="P110" s="53">
        <v>575.32000000000005</v>
      </c>
      <c r="Q110" s="37">
        <v>224.54</v>
      </c>
      <c r="R110" s="37">
        <v>350.78</v>
      </c>
      <c r="S110" s="3">
        <v>61</v>
      </c>
      <c r="T110" s="1" t="s">
        <v>33</v>
      </c>
      <c r="U110" s="15">
        <v>3</v>
      </c>
    </row>
    <row r="111" spans="1:21" x14ac:dyDescent="0.3">
      <c r="A111" s="14" t="s">
        <v>246</v>
      </c>
      <c r="B111" s="46">
        <v>45332</v>
      </c>
      <c r="C111" s="4" t="s">
        <v>191</v>
      </c>
      <c r="D111" s="42" t="s">
        <v>1373</v>
      </c>
      <c r="E111" s="4">
        <v>2024</v>
      </c>
      <c r="F111" s="4" t="s">
        <v>35</v>
      </c>
      <c r="G111" s="61" t="s">
        <v>42</v>
      </c>
      <c r="H111" s="5" t="s">
        <v>24</v>
      </c>
      <c r="I111" s="5" t="s">
        <v>38</v>
      </c>
      <c r="J111" s="5" t="s">
        <v>247</v>
      </c>
      <c r="K111" s="4">
        <v>16</v>
      </c>
      <c r="L111" s="38">
        <v>36.840000000000003</v>
      </c>
      <c r="M111" s="6">
        <v>0</v>
      </c>
      <c r="N111" s="38">
        <v>589.44000000000005</v>
      </c>
      <c r="O111" s="38">
        <v>0</v>
      </c>
      <c r="P111" s="54">
        <v>589.44000000000005</v>
      </c>
      <c r="Q111" s="38">
        <v>335.92</v>
      </c>
      <c r="R111" s="38">
        <v>253.52</v>
      </c>
      <c r="S111" s="6">
        <v>43</v>
      </c>
      <c r="T111" s="4" t="s">
        <v>27</v>
      </c>
      <c r="U111" s="16">
        <v>3</v>
      </c>
    </row>
    <row r="112" spans="1:21" x14ac:dyDescent="0.3">
      <c r="A112" s="13" t="s">
        <v>248</v>
      </c>
      <c r="B112" s="45">
        <v>45333</v>
      </c>
      <c r="C112" s="1" t="s">
        <v>191</v>
      </c>
      <c r="D112" s="41" t="s">
        <v>1373</v>
      </c>
      <c r="E112" s="1">
        <v>2024</v>
      </c>
      <c r="F112" s="1" t="s">
        <v>35</v>
      </c>
      <c r="G112" s="60" t="s">
        <v>36</v>
      </c>
      <c r="H112" s="2" t="s">
        <v>59</v>
      </c>
      <c r="I112" s="2" t="s">
        <v>31</v>
      </c>
      <c r="J112" s="2" t="s">
        <v>249</v>
      </c>
      <c r="K112" s="1">
        <v>18</v>
      </c>
      <c r="L112" s="37">
        <v>94.66</v>
      </c>
      <c r="M112" s="3">
        <v>0</v>
      </c>
      <c r="N112" s="37">
        <v>1703.88</v>
      </c>
      <c r="O112" s="37">
        <v>0</v>
      </c>
      <c r="P112" s="53">
        <v>1703.88</v>
      </c>
      <c r="Q112" s="37">
        <v>1045.0999999999999</v>
      </c>
      <c r="R112" s="37">
        <v>658.78</v>
      </c>
      <c r="S112" s="3">
        <v>38.700000000000003</v>
      </c>
      <c r="T112" s="1" t="s">
        <v>33</v>
      </c>
      <c r="U112" s="15">
        <v>2</v>
      </c>
    </row>
    <row r="113" spans="1:21" x14ac:dyDescent="0.3">
      <c r="A113" s="14" t="s">
        <v>250</v>
      </c>
      <c r="B113" s="46">
        <v>45333</v>
      </c>
      <c r="C113" s="4" t="s">
        <v>191</v>
      </c>
      <c r="D113" s="42" t="s">
        <v>1373</v>
      </c>
      <c r="E113" s="4">
        <v>2024</v>
      </c>
      <c r="F113" s="4" t="s">
        <v>35</v>
      </c>
      <c r="G113" s="61" t="s">
        <v>46</v>
      </c>
      <c r="H113" s="5" t="s">
        <v>24</v>
      </c>
      <c r="I113" s="5" t="s">
        <v>47</v>
      </c>
      <c r="J113" s="5" t="s">
        <v>109</v>
      </c>
      <c r="K113" s="4">
        <v>17</v>
      </c>
      <c r="L113" s="38">
        <v>497.65</v>
      </c>
      <c r="M113" s="6">
        <v>15</v>
      </c>
      <c r="N113" s="38">
        <v>8460.0499999999993</v>
      </c>
      <c r="O113" s="38">
        <v>1269.01</v>
      </c>
      <c r="P113" s="54">
        <v>7191.04</v>
      </c>
      <c r="Q113" s="38">
        <v>3515.37</v>
      </c>
      <c r="R113" s="38">
        <v>3675.67</v>
      </c>
      <c r="S113" s="6">
        <v>51.1</v>
      </c>
      <c r="T113" s="4" t="s">
        <v>44</v>
      </c>
      <c r="U113" s="16">
        <v>3</v>
      </c>
    </row>
    <row r="114" spans="1:21" x14ac:dyDescent="0.3">
      <c r="A114" s="13" t="s">
        <v>251</v>
      </c>
      <c r="B114" s="45">
        <v>45333</v>
      </c>
      <c r="C114" s="1" t="s">
        <v>191</v>
      </c>
      <c r="D114" s="41" t="s">
        <v>1373</v>
      </c>
      <c r="E114" s="1">
        <v>2024</v>
      </c>
      <c r="F114" s="1" t="s">
        <v>53</v>
      </c>
      <c r="G114" s="60" t="s">
        <v>36</v>
      </c>
      <c r="H114" s="2" t="s">
        <v>50</v>
      </c>
      <c r="I114" s="2" t="s">
        <v>25</v>
      </c>
      <c r="J114" s="2" t="s">
        <v>123</v>
      </c>
      <c r="K114" s="1">
        <v>4</v>
      </c>
      <c r="L114" s="37">
        <v>35.26</v>
      </c>
      <c r="M114" s="3">
        <v>0</v>
      </c>
      <c r="N114" s="37">
        <v>141.04</v>
      </c>
      <c r="O114" s="37">
        <v>0</v>
      </c>
      <c r="P114" s="53">
        <v>141.04</v>
      </c>
      <c r="Q114" s="37">
        <v>64.540000000000006</v>
      </c>
      <c r="R114" s="37">
        <v>76.5</v>
      </c>
      <c r="S114" s="3">
        <v>54.2</v>
      </c>
      <c r="T114" s="1" t="s">
        <v>44</v>
      </c>
      <c r="U114" s="15">
        <v>4</v>
      </c>
    </row>
    <row r="115" spans="1:21" x14ac:dyDescent="0.3">
      <c r="A115" s="14" t="s">
        <v>252</v>
      </c>
      <c r="B115" s="46">
        <v>45333</v>
      </c>
      <c r="C115" s="4" t="s">
        <v>191</v>
      </c>
      <c r="D115" s="42" t="s">
        <v>1373</v>
      </c>
      <c r="E115" s="4">
        <v>2024</v>
      </c>
      <c r="F115" s="4" t="s">
        <v>53</v>
      </c>
      <c r="G115" s="61" t="s">
        <v>91</v>
      </c>
      <c r="H115" s="5" t="s">
        <v>24</v>
      </c>
      <c r="I115" s="5" t="s">
        <v>55</v>
      </c>
      <c r="J115" s="5" t="s">
        <v>253</v>
      </c>
      <c r="K115" s="4">
        <v>19</v>
      </c>
      <c r="L115" s="38">
        <v>387.83</v>
      </c>
      <c r="M115" s="6">
        <v>20</v>
      </c>
      <c r="N115" s="38">
        <v>7368.77</v>
      </c>
      <c r="O115" s="38">
        <v>1473.75</v>
      </c>
      <c r="P115" s="54">
        <v>5895.02</v>
      </c>
      <c r="Q115" s="38">
        <v>2603.4899999999998</v>
      </c>
      <c r="R115" s="38">
        <v>3291.53</v>
      </c>
      <c r="S115" s="6">
        <v>55.8</v>
      </c>
      <c r="T115" s="4" t="s">
        <v>44</v>
      </c>
      <c r="U115" s="16">
        <v>2</v>
      </c>
    </row>
    <row r="116" spans="1:21" x14ac:dyDescent="0.3">
      <c r="A116" s="13" t="s">
        <v>254</v>
      </c>
      <c r="B116" s="45">
        <v>45333</v>
      </c>
      <c r="C116" s="1" t="s">
        <v>191</v>
      </c>
      <c r="D116" s="41" t="s">
        <v>1373</v>
      </c>
      <c r="E116" s="1">
        <v>2024</v>
      </c>
      <c r="F116" s="1" t="s">
        <v>53</v>
      </c>
      <c r="G116" s="60" t="s">
        <v>66</v>
      </c>
      <c r="H116" s="2" t="s">
        <v>50</v>
      </c>
      <c r="I116" s="2" t="s">
        <v>25</v>
      </c>
      <c r="J116" s="2" t="s">
        <v>200</v>
      </c>
      <c r="K116" s="1">
        <v>4</v>
      </c>
      <c r="L116" s="37">
        <v>24.36</v>
      </c>
      <c r="M116" s="3">
        <v>0</v>
      </c>
      <c r="N116" s="37">
        <v>97.44</v>
      </c>
      <c r="O116" s="37">
        <v>0</v>
      </c>
      <c r="P116" s="53">
        <v>97.44</v>
      </c>
      <c r="Q116" s="37">
        <v>50.23</v>
      </c>
      <c r="R116" s="37">
        <v>47.21</v>
      </c>
      <c r="S116" s="3">
        <v>48.5</v>
      </c>
      <c r="T116" s="1" t="s">
        <v>44</v>
      </c>
      <c r="U116" s="15">
        <v>5</v>
      </c>
    </row>
    <row r="117" spans="1:21" x14ac:dyDescent="0.3">
      <c r="A117" s="14" t="s">
        <v>255</v>
      </c>
      <c r="B117" s="46">
        <v>45334</v>
      </c>
      <c r="C117" s="4" t="s">
        <v>191</v>
      </c>
      <c r="D117" s="42" t="s">
        <v>1373</v>
      </c>
      <c r="E117" s="4">
        <v>2024</v>
      </c>
      <c r="F117" s="4" t="s">
        <v>53</v>
      </c>
      <c r="G117" s="61" t="s">
        <v>36</v>
      </c>
      <c r="H117" s="5" t="s">
        <v>59</v>
      </c>
      <c r="I117" s="5" t="s">
        <v>75</v>
      </c>
      <c r="J117" s="5" t="s">
        <v>79</v>
      </c>
      <c r="K117" s="4">
        <v>9</v>
      </c>
      <c r="L117" s="38">
        <v>147.97</v>
      </c>
      <c r="M117" s="6">
        <v>0</v>
      </c>
      <c r="N117" s="38">
        <v>1331.73</v>
      </c>
      <c r="O117" s="38">
        <v>0</v>
      </c>
      <c r="P117" s="54">
        <v>1331.73</v>
      </c>
      <c r="Q117" s="38">
        <v>536.33000000000004</v>
      </c>
      <c r="R117" s="38">
        <v>795.4</v>
      </c>
      <c r="S117" s="6">
        <v>59.7</v>
      </c>
      <c r="T117" s="4" t="s">
        <v>44</v>
      </c>
      <c r="U117" s="16">
        <v>4</v>
      </c>
    </row>
    <row r="118" spans="1:21" x14ac:dyDescent="0.3">
      <c r="A118" s="13" t="s">
        <v>256</v>
      </c>
      <c r="B118" s="45">
        <v>45335</v>
      </c>
      <c r="C118" s="1" t="s">
        <v>191</v>
      </c>
      <c r="D118" s="41" t="s">
        <v>1373</v>
      </c>
      <c r="E118" s="1">
        <v>2024</v>
      </c>
      <c r="F118" s="1" t="s">
        <v>22</v>
      </c>
      <c r="G118" s="60" t="s">
        <v>30</v>
      </c>
      <c r="H118" s="2" t="s">
        <v>59</v>
      </c>
      <c r="I118" s="2" t="s">
        <v>55</v>
      </c>
      <c r="J118" s="2" t="s">
        <v>197</v>
      </c>
      <c r="K118" s="1">
        <v>18</v>
      </c>
      <c r="L118" s="37">
        <v>389.99</v>
      </c>
      <c r="M118" s="3">
        <v>15</v>
      </c>
      <c r="N118" s="37">
        <v>7019.82</v>
      </c>
      <c r="O118" s="37">
        <v>1052.97</v>
      </c>
      <c r="P118" s="53">
        <v>5966.85</v>
      </c>
      <c r="Q118" s="37">
        <v>3174.29</v>
      </c>
      <c r="R118" s="37">
        <v>2792.56</v>
      </c>
      <c r="S118" s="3">
        <v>46.8</v>
      </c>
      <c r="T118" s="1" t="s">
        <v>44</v>
      </c>
      <c r="U118" s="15">
        <v>2</v>
      </c>
    </row>
    <row r="119" spans="1:21" x14ac:dyDescent="0.3">
      <c r="A119" s="14" t="s">
        <v>257</v>
      </c>
      <c r="B119" s="46">
        <v>45335</v>
      </c>
      <c r="C119" s="4" t="s">
        <v>191</v>
      </c>
      <c r="D119" s="42" t="s">
        <v>1373</v>
      </c>
      <c r="E119" s="4">
        <v>2024</v>
      </c>
      <c r="F119" s="4" t="s">
        <v>35</v>
      </c>
      <c r="G119" s="61" t="s">
        <v>54</v>
      </c>
      <c r="H119" s="5" t="s">
        <v>37</v>
      </c>
      <c r="I119" s="5" t="s">
        <v>31</v>
      </c>
      <c r="J119" s="5" t="s">
        <v>258</v>
      </c>
      <c r="K119" s="4">
        <v>12</v>
      </c>
      <c r="L119" s="38">
        <v>97.49</v>
      </c>
      <c r="M119" s="6">
        <v>15</v>
      </c>
      <c r="N119" s="38">
        <v>1169.8800000000001</v>
      </c>
      <c r="O119" s="38">
        <v>175.48</v>
      </c>
      <c r="P119" s="54">
        <v>994.4</v>
      </c>
      <c r="Q119" s="38">
        <v>599.16</v>
      </c>
      <c r="R119" s="38">
        <v>395.24</v>
      </c>
      <c r="S119" s="6">
        <v>39.700000000000003</v>
      </c>
      <c r="T119" s="4" t="s">
        <v>44</v>
      </c>
      <c r="U119" s="16">
        <v>2</v>
      </c>
    </row>
    <row r="120" spans="1:21" x14ac:dyDescent="0.3">
      <c r="A120" s="13" t="s">
        <v>259</v>
      </c>
      <c r="B120" s="45">
        <v>45335</v>
      </c>
      <c r="C120" s="1" t="s">
        <v>191</v>
      </c>
      <c r="D120" s="41" t="s">
        <v>1373</v>
      </c>
      <c r="E120" s="1">
        <v>2024</v>
      </c>
      <c r="F120" s="1" t="s">
        <v>22</v>
      </c>
      <c r="G120" s="60" t="s">
        <v>46</v>
      </c>
      <c r="H120" s="2" t="s">
        <v>50</v>
      </c>
      <c r="I120" s="2" t="s">
        <v>55</v>
      </c>
      <c r="J120" s="2" t="s">
        <v>260</v>
      </c>
      <c r="K120" s="1">
        <v>18</v>
      </c>
      <c r="L120" s="37">
        <v>875.31</v>
      </c>
      <c r="M120" s="3">
        <v>15</v>
      </c>
      <c r="N120" s="37">
        <v>15755.58</v>
      </c>
      <c r="O120" s="37">
        <v>2363.34</v>
      </c>
      <c r="P120" s="53">
        <v>13392.24</v>
      </c>
      <c r="Q120" s="37">
        <v>8137.31</v>
      </c>
      <c r="R120" s="37">
        <v>5254.93</v>
      </c>
      <c r="S120" s="3">
        <v>39.200000000000003</v>
      </c>
      <c r="T120" s="1" t="s">
        <v>33</v>
      </c>
      <c r="U120" s="15">
        <v>2</v>
      </c>
    </row>
    <row r="121" spans="1:21" x14ac:dyDescent="0.3">
      <c r="A121" s="14" t="s">
        <v>261</v>
      </c>
      <c r="B121" s="46">
        <v>45335</v>
      </c>
      <c r="C121" s="4" t="s">
        <v>191</v>
      </c>
      <c r="D121" s="42" t="s">
        <v>1373</v>
      </c>
      <c r="E121" s="4">
        <v>2024</v>
      </c>
      <c r="F121" s="4" t="s">
        <v>29</v>
      </c>
      <c r="G121" s="61" t="s">
        <v>46</v>
      </c>
      <c r="H121" s="5" t="s">
        <v>37</v>
      </c>
      <c r="I121" s="5" t="s">
        <v>75</v>
      </c>
      <c r="J121" s="5" t="s">
        <v>262</v>
      </c>
      <c r="K121" s="4">
        <v>2</v>
      </c>
      <c r="L121" s="38">
        <v>87.49</v>
      </c>
      <c r="M121" s="6">
        <v>0</v>
      </c>
      <c r="N121" s="38">
        <v>174.98</v>
      </c>
      <c r="O121" s="38">
        <v>0</v>
      </c>
      <c r="P121" s="54">
        <v>174.98</v>
      </c>
      <c r="Q121" s="38">
        <v>68.59</v>
      </c>
      <c r="R121" s="38">
        <v>106.39</v>
      </c>
      <c r="S121" s="6">
        <v>60.8</v>
      </c>
      <c r="T121" s="4" t="s">
        <v>44</v>
      </c>
      <c r="U121" s="16">
        <v>1</v>
      </c>
    </row>
    <row r="122" spans="1:21" x14ac:dyDescent="0.3">
      <c r="A122" s="13" t="s">
        <v>263</v>
      </c>
      <c r="B122" s="45">
        <v>45336</v>
      </c>
      <c r="C122" s="1" t="s">
        <v>191</v>
      </c>
      <c r="D122" s="41" t="s">
        <v>1373</v>
      </c>
      <c r="E122" s="1">
        <v>2024</v>
      </c>
      <c r="F122" s="1" t="s">
        <v>35</v>
      </c>
      <c r="G122" s="60" t="s">
        <v>54</v>
      </c>
      <c r="H122" s="2" t="s">
        <v>59</v>
      </c>
      <c r="I122" s="2" t="s">
        <v>55</v>
      </c>
      <c r="J122" s="2" t="s">
        <v>60</v>
      </c>
      <c r="K122" s="1">
        <v>15</v>
      </c>
      <c r="L122" s="37">
        <v>560.49</v>
      </c>
      <c r="M122" s="3">
        <v>0</v>
      </c>
      <c r="N122" s="37">
        <v>8407.35</v>
      </c>
      <c r="O122" s="37">
        <v>0</v>
      </c>
      <c r="P122" s="53">
        <v>8407.35</v>
      </c>
      <c r="Q122" s="37">
        <v>4301.08</v>
      </c>
      <c r="R122" s="37">
        <v>4106.2700000000004</v>
      </c>
      <c r="S122" s="3">
        <v>48.8</v>
      </c>
      <c r="T122" s="1" t="s">
        <v>27</v>
      </c>
      <c r="U122" s="15">
        <v>2</v>
      </c>
    </row>
    <row r="123" spans="1:21" x14ac:dyDescent="0.3">
      <c r="A123" s="14" t="s">
        <v>264</v>
      </c>
      <c r="B123" s="46">
        <v>45336</v>
      </c>
      <c r="C123" s="4" t="s">
        <v>191</v>
      </c>
      <c r="D123" s="42" t="s">
        <v>1373</v>
      </c>
      <c r="E123" s="4">
        <v>2024</v>
      </c>
      <c r="F123" s="4" t="s">
        <v>53</v>
      </c>
      <c r="G123" s="61" t="s">
        <v>54</v>
      </c>
      <c r="H123" s="5" t="s">
        <v>50</v>
      </c>
      <c r="I123" s="5" t="s">
        <v>38</v>
      </c>
      <c r="J123" s="5" t="s">
        <v>265</v>
      </c>
      <c r="K123" s="4">
        <v>18</v>
      </c>
      <c r="L123" s="38">
        <v>38.53</v>
      </c>
      <c r="M123" s="6">
        <v>0</v>
      </c>
      <c r="N123" s="38">
        <v>693.54</v>
      </c>
      <c r="O123" s="38">
        <v>0</v>
      </c>
      <c r="P123" s="54">
        <v>693.54</v>
      </c>
      <c r="Q123" s="38">
        <v>297.51</v>
      </c>
      <c r="R123" s="38">
        <v>396.03</v>
      </c>
      <c r="S123" s="6">
        <v>57.1</v>
      </c>
      <c r="T123" s="4" t="s">
        <v>33</v>
      </c>
      <c r="U123" s="16">
        <v>1</v>
      </c>
    </row>
    <row r="124" spans="1:21" x14ac:dyDescent="0.3">
      <c r="A124" s="13" t="s">
        <v>266</v>
      </c>
      <c r="B124" s="45">
        <v>45338</v>
      </c>
      <c r="C124" s="1" t="s">
        <v>191</v>
      </c>
      <c r="D124" s="41" t="s">
        <v>1373</v>
      </c>
      <c r="E124" s="1">
        <v>2024</v>
      </c>
      <c r="F124" s="1" t="s">
        <v>53</v>
      </c>
      <c r="G124" s="60" t="s">
        <v>66</v>
      </c>
      <c r="H124" s="2" t="s">
        <v>37</v>
      </c>
      <c r="I124" s="2" t="s">
        <v>31</v>
      </c>
      <c r="J124" s="2" t="s">
        <v>267</v>
      </c>
      <c r="K124" s="1">
        <v>7</v>
      </c>
      <c r="L124" s="37">
        <v>149.46</v>
      </c>
      <c r="M124" s="3">
        <v>10</v>
      </c>
      <c r="N124" s="37">
        <v>1046.22</v>
      </c>
      <c r="O124" s="37">
        <v>104.62</v>
      </c>
      <c r="P124" s="53">
        <v>941.6</v>
      </c>
      <c r="Q124" s="37">
        <v>579.92999999999995</v>
      </c>
      <c r="R124" s="37">
        <v>361.67</v>
      </c>
      <c r="S124" s="3">
        <v>38.4</v>
      </c>
      <c r="T124" s="1" t="s">
        <v>33</v>
      </c>
      <c r="U124" s="15">
        <v>2</v>
      </c>
    </row>
    <row r="125" spans="1:21" x14ac:dyDescent="0.3">
      <c r="A125" s="14" t="s">
        <v>268</v>
      </c>
      <c r="B125" s="46">
        <v>45339</v>
      </c>
      <c r="C125" s="4" t="s">
        <v>191</v>
      </c>
      <c r="D125" s="42" t="s">
        <v>1373</v>
      </c>
      <c r="E125" s="4">
        <v>2024</v>
      </c>
      <c r="F125" s="4" t="s">
        <v>53</v>
      </c>
      <c r="G125" s="61" t="s">
        <v>66</v>
      </c>
      <c r="H125" s="5" t="s">
        <v>24</v>
      </c>
      <c r="I125" s="5" t="s">
        <v>75</v>
      </c>
      <c r="J125" s="5" t="s">
        <v>269</v>
      </c>
      <c r="K125" s="4">
        <v>14</v>
      </c>
      <c r="L125" s="38">
        <v>366.85</v>
      </c>
      <c r="M125" s="6">
        <v>20</v>
      </c>
      <c r="N125" s="38">
        <v>5135.8999999999996</v>
      </c>
      <c r="O125" s="38">
        <v>1027.18</v>
      </c>
      <c r="P125" s="54">
        <v>4108.72</v>
      </c>
      <c r="Q125" s="38">
        <v>1532.3</v>
      </c>
      <c r="R125" s="38">
        <v>2576.42</v>
      </c>
      <c r="S125" s="6">
        <v>62.7</v>
      </c>
      <c r="T125" s="4" t="s">
        <v>27</v>
      </c>
      <c r="U125" s="16">
        <v>4</v>
      </c>
    </row>
    <row r="126" spans="1:21" x14ac:dyDescent="0.3">
      <c r="A126" s="13" t="s">
        <v>270</v>
      </c>
      <c r="B126" s="45">
        <v>45339</v>
      </c>
      <c r="C126" s="1" t="s">
        <v>191</v>
      </c>
      <c r="D126" s="41" t="s">
        <v>1373</v>
      </c>
      <c r="E126" s="1">
        <v>2024</v>
      </c>
      <c r="F126" s="1" t="s">
        <v>22</v>
      </c>
      <c r="G126" s="60" t="s">
        <v>122</v>
      </c>
      <c r="H126" s="2" t="s">
        <v>24</v>
      </c>
      <c r="I126" s="2" t="s">
        <v>38</v>
      </c>
      <c r="J126" s="2" t="s">
        <v>85</v>
      </c>
      <c r="K126" s="1">
        <v>4</v>
      </c>
      <c r="L126" s="37">
        <v>51.11</v>
      </c>
      <c r="M126" s="3">
        <v>0</v>
      </c>
      <c r="N126" s="37">
        <v>204.44</v>
      </c>
      <c r="O126" s="37">
        <v>0</v>
      </c>
      <c r="P126" s="53">
        <v>204.44</v>
      </c>
      <c r="Q126" s="37">
        <v>76.180000000000007</v>
      </c>
      <c r="R126" s="37">
        <v>128.26</v>
      </c>
      <c r="S126" s="3">
        <v>62.7</v>
      </c>
      <c r="T126" s="1" t="s">
        <v>44</v>
      </c>
      <c r="U126" s="15">
        <v>1</v>
      </c>
    </row>
    <row r="127" spans="1:21" x14ac:dyDescent="0.3">
      <c r="A127" s="14" t="s">
        <v>271</v>
      </c>
      <c r="B127" s="46">
        <v>45339</v>
      </c>
      <c r="C127" s="4" t="s">
        <v>191</v>
      </c>
      <c r="D127" s="42" t="s">
        <v>1373</v>
      </c>
      <c r="E127" s="4">
        <v>2024</v>
      </c>
      <c r="F127" s="4" t="s">
        <v>53</v>
      </c>
      <c r="G127" s="61" t="s">
        <v>91</v>
      </c>
      <c r="H127" s="5" t="s">
        <v>59</v>
      </c>
      <c r="I127" s="5" t="s">
        <v>47</v>
      </c>
      <c r="J127" s="5" t="s">
        <v>129</v>
      </c>
      <c r="K127" s="4">
        <v>8</v>
      </c>
      <c r="L127" s="38">
        <v>228.77</v>
      </c>
      <c r="M127" s="6">
        <v>0</v>
      </c>
      <c r="N127" s="38">
        <v>1830.16</v>
      </c>
      <c r="O127" s="38">
        <v>0</v>
      </c>
      <c r="P127" s="54">
        <v>1830.16</v>
      </c>
      <c r="Q127" s="38">
        <v>650.78</v>
      </c>
      <c r="R127" s="38">
        <v>1179.3800000000001</v>
      </c>
      <c r="S127" s="6">
        <v>64.400000000000006</v>
      </c>
      <c r="T127" s="4" t="s">
        <v>44</v>
      </c>
      <c r="U127" s="16">
        <v>4</v>
      </c>
    </row>
    <row r="128" spans="1:21" x14ac:dyDescent="0.3">
      <c r="A128" s="13" t="s">
        <v>272</v>
      </c>
      <c r="B128" s="45">
        <v>45339</v>
      </c>
      <c r="C128" s="1" t="s">
        <v>191</v>
      </c>
      <c r="D128" s="41" t="s">
        <v>1373</v>
      </c>
      <c r="E128" s="1">
        <v>2024</v>
      </c>
      <c r="F128" s="1" t="s">
        <v>35</v>
      </c>
      <c r="G128" s="60" t="s">
        <v>36</v>
      </c>
      <c r="H128" s="2" t="s">
        <v>59</v>
      </c>
      <c r="I128" s="2" t="s">
        <v>25</v>
      </c>
      <c r="J128" s="2" t="s">
        <v>273</v>
      </c>
      <c r="K128" s="1">
        <v>10</v>
      </c>
      <c r="L128" s="37">
        <v>99.53</v>
      </c>
      <c r="M128" s="3">
        <v>20</v>
      </c>
      <c r="N128" s="37">
        <v>995.3</v>
      </c>
      <c r="O128" s="37">
        <v>199.06</v>
      </c>
      <c r="P128" s="53">
        <v>796.24</v>
      </c>
      <c r="Q128" s="37">
        <v>399.83</v>
      </c>
      <c r="R128" s="37">
        <v>396.41</v>
      </c>
      <c r="S128" s="3">
        <v>49.8</v>
      </c>
      <c r="T128" s="1" t="s">
        <v>33</v>
      </c>
      <c r="U128" s="15">
        <v>3</v>
      </c>
    </row>
    <row r="129" spans="1:21" x14ac:dyDescent="0.3">
      <c r="A129" s="14" t="s">
        <v>274</v>
      </c>
      <c r="B129" s="46">
        <v>45339</v>
      </c>
      <c r="C129" s="4" t="s">
        <v>191</v>
      </c>
      <c r="D129" s="42" t="s">
        <v>1373</v>
      </c>
      <c r="E129" s="4">
        <v>2024</v>
      </c>
      <c r="F129" s="4" t="s">
        <v>41</v>
      </c>
      <c r="G129" s="61" t="s">
        <v>23</v>
      </c>
      <c r="H129" s="5" t="s">
        <v>37</v>
      </c>
      <c r="I129" s="5" t="s">
        <v>38</v>
      </c>
      <c r="J129" s="5" t="s">
        <v>85</v>
      </c>
      <c r="K129" s="4">
        <v>2</v>
      </c>
      <c r="L129" s="38">
        <v>64.36</v>
      </c>
      <c r="M129" s="6">
        <v>20</v>
      </c>
      <c r="N129" s="38">
        <v>128.72</v>
      </c>
      <c r="O129" s="38">
        <v>25.74</v>
      </c>
      <c r="P129" s="54">
        <v>102.98</v>
      </c>
      <c r="Q129" s="38">
        <v>37.01</v>
      </c>
      <c r="R129" s="38">
        <v>65.97</v>
      </c>
      <c r="S129" s="6">
        <v>64.099999999999994</v>
      </c>
      <c r="T129" s="4" t="s">
        <v>33</v>
      </c>
      <c r="U129" s="16">
        <v>1</v>
      </c>
    </row>
    <row r="130" spans="1:21" x14ac:dyDescent="0.3">
      <c r="A130" s="13" t="s">
        <v>275</v>
      </c>
      <c r="B130" s="45">
        <v>45339</v>
      </c>
      <c r="C130" s="1" t="s">
        <v>191</v>
      </c>
      <c r="D130" s="41" t="s">
        <v>1373</v>
      </c>
      <c r="E130" s="1">
        <v>2024</v>
      </c>
      <c r="F130" s="1" t="s">
        <v>35</v>
      </c>
      <c r="G130" s="60" t="s">
        <v>91</v>
      </c>
      <c r="H130" s="2" t="s">
        <v>37</v>
      </c>
      <c r="I130" s="2" t="s">
        <v>47</v>
      </c>
      <c r="J130" s="2" t="s">
        <v>276</v>
      </c>
      <c r="K130" s="1">
        <v>15</v>
      </c>
      <c r="L130" s="37">
        <v>47.53</v>
      </c>
      <c r="M130" s="3">
        <v>20</v>
      </c>
      <c r="N130" s="37">
        <v>712.95</v>
      </c>
      <c r="O130" s="37">
        <v>142.59</v>
      </c>
      <c r="P130" s="53">
        <v>570.36</v>
      </c>
      <c r="Q130" s="37">
        <v>299.19</v>
      </c>
      <c r="R130" s="37">
        <v>271.17</v>
      </c>
      <c r="S130" s="3">
        <v>47.5</v>
      </c>
      <c r="T130" s="1" t="s">
        <v>44</v>
      </c>
      <c r="U130" s="15">
        <v>1</v>
      </c>
    </row>
    <row r="131" spans="1:21" x14ac:dyDescent="0.3">
      <c r="A131" s="14" t="s">
        <v>277</v>
      </c>
      <c r="B131" s="46">
        <v>45340</v>
      </c>
      <c r="C131" s="4" t="s">
        <v>191</v>
      </c>
      <c r="D131" s="42" t="s">
        <v>1373</v>
      </c>
      <c r="E131" s="4">
        <v>2024</v>
      </c>
      <c r="F131" s="4" t="s">
        <v>29</v>
      </c>
      <c r="G131" s="61" t="s">
        <v>122</v>
      </c>
      <c r="H131" s="5" t="s">
        <v>37</v>
      </c>
      <c r="I131" s="5" t="s">
        <v>75</v>
      </c>
      <c r="J131" s="5" t="s">
        <v>278</v>
      </c>
      <c r="K131" s="4">
        <v>9</v>
      </c>
      <c r="L131" s="38">
        <v>276.69</v>
      </c>
      <c r="M131" s="6">
        <v>20</v>
      </c>
      <c r="N131" s="38">
        <v>2490.21</v>
      </c>
      <c r="O131" s="38">
        <v>498.04</v>
      </c>
      <c r="P131" s="54">
        <v>1992.17</v>
      </c>
      <c r="Q131" s="38">
        <v>939.39</v>
      </c>
      <c r="R131" s="38">
        <v>1052.78</v>
      </c>
      <c r="S131" s="6">
        <v>52.8</v>
      </c>
      <c r="T131" s="4" t="s">
        <v>33</v>
      </c>
      <c r="U131" s="16">
        <v>5</v>
      </c>
    </row>
    <row r="132" spans="1:21" x14ac:dyDescent="0.3">
      <c r="A132" s="13" t="s">
        <v>279</v>
      </c>
      <c r="B132" s="45">
        <v>45341</v>
      </c>
      <c r="C132" s="1" t="s">
        <v>191</v>
      </c>
      <c r="D132" s="41" t="s">
        <v>1373</v>
      </c>
      <c r="E132" s="1">
        <v>2024</v>
      </c>
      <c r="F132" s="1" t="s">
        <v>35</v>
      </c>
      <c r="G132" s="60" t="s">
        <v>58</v>
      </c>
      <c r="H132" s="2" t="s">
        <v>50</v>
      </c>
      <c r="I132" s="2" t="s">
        <v>75</v>
      </c>
      <c r="J132" s="2" t="s">
        <v>96</v>
      </c>
      <c r="K132" s="1">
        <v>12</v>
      </c>
      <c r="L132" s="37">
        <v>177.33</v>
      </c>
      <c r="M132" s="3">
        <v>10</v>
      </c>
      <c r="N132" s="37">
        <v>2127.96</v>
      </c>
      <c r="O132" s="37">
        <v>212.8</v>
      </c>
      <c r="P132" s="53">
        <v>1915.16</v>
      </c>
      <c r="Q132" s="37">
        <v>1009.31</v>
      </c>
      <c r="R132" s="37">
        <v>905.85</v>
      </c>
      <c r="S132" s="3">
        <v>47.3</v>
      </c>
      <c r="T132" s="1" t="s">
        <v>44</v>
      </c>
      <c r="U132" s="15">
        <v>1</v>
      </c>
    </row>
    <row r="133" spans="1:21" x14ac:dyDescent="0.3">
      <c r="A133" s="14" t="s">
        <v>280</v>
      </c>
      <c r="B133" s="46">
        <v>45341</v>
      </c>
      <c r="C133" s="4" t="s">
        <v>191</v>
      </c>
      <c r="D133" s="42" t="s">
        <v>1373</v>
      </c>
      <c r="E133" s="4">
        <v>2024</v>
      </c>
      <c r="F133" s="4" t="s">
        <v>53</v>
      </c>
      <c r="G133" s="61" t="s">
        <v>46</v>
      </c>
      <c r="H133" s="5" t="s">
        <v>24</v>
      </c>
      <c r="I133" s="5" t="s">
        <v>75</v>
      </c>
      <c r="J133" s="5" t="s">
        <v>79</v>
      </c>
      <c r="K133" s="4">
        <v>3</v>
      </c>
      <c r="L133" s="38">
        <v>217.41</v>
      </c>
      <c r="M133" s="6">
        <v>5</v>
      </c>
      <c r="N133" s="38">
        <v>652.23</v>
      </c>
      <c r="O133" s="38">
        <v>32.61</v>
      </c>
      <c r="P133" s="54">
        <v>619.62</v>
      </c>
      <c r="Q133" s="38">
        <v>385.34</v>
      </c>
      <c r="R133" s="38">
        <v>234.28</v>
      </c>
      <c r="S133" s="6">
        <v>37.799999999999997</v>
      </c>
      <c r="T133" s="4" t="s">
        <v>27</v>
      </c>
      <c r="U133" s="16">
        <v>4</v>
      </c>
    </row>
    <row r="134" spans="1:21" x14ac:dyDescent="0.3">
      <c r="A134" s="13" t="s">
        <v>281</v>
      </c>
      <c r="B134" s="45">
        <v>45342</v>
      </c>
      <c r="C134" s="1" t="s">
        <v>191</v>
      </c>
      <c r="D134" s="41" t="s">
        <v>1373</v>
      </c>
      <c r="E134" s="1">
        <v>2024</v>
      </c>
      <c r="F134" s="1" t="s">
        <v>35</v>
      </c>
      <c r="G134" s="60" t="s">
        <v>66</v>
      </c>
      <c r="H134" s="2" t="s">
        <v>50</v>
      </c>
      <c r="I134" s="2" t="s">
        <v>31</v>
      </c>
      <c r="J134" s="2" t="s">
        <v>282</v>
      </c>
      <c r="K134" s="1">
        <v>15</v>
      </c>
      <c r="L134" s="37">
        <v>153.72999999999999</v>
      </c>
      <c r="M134" s="3">
        <v>15</v>
      </c>
      <c r="N134" s="37">
        <v>2305.9499999999998</v>
      </c>
      <c r="O134" s="37">
        <v>345.89</v>
      </c>
      <c r="P134" s="53">
        <v>1960.06</v>
      </c>
      <c r="Q134" s="37">
        <v>1010.37</v>
      </c>
      <c r="R134" s="37">
        <v>949.69</v>
      </c>
      <c r="S134" s="3">
        <v>48.5</v>
      </c>
      <c r="T134" s="1" t="s">
        <v>44</v>
      </c>
      <c r="U134" s="15">
        <v>5</v>
      </c>
    </row>
    <row r="135" spans="1:21" x14ac:dyDescent="0.3">
      <c r="A135" s="14" t="s">
        <v>283</v>
      </c>
      <c r="B135" s="46">
        <v>45342</v>
      </c>
      <c r="C135" s="4" t="s">
        <v>191</v>
      </c>
      <c r="D135" s="42" t="s">
        <v>1373</v>
      </c>
      <c r="E135" s="4">
        <v>2024</v>
      </c>
      <c r="F135" s="4" t="s">
        <v>35</v>
      </c>
      <c r="G135" s="61" t="s">
        <v>30</v>
      </c>
      <c r="H135" s="5" t="s">
        <v>50</v>
      </c>
      <c r="I135" s="5" t="s">
        <v>75</v>
      </c>
      <c r="J135" s="5" t="s">
        <v>284</v>
      </c>
      <c r="K135" s="4">
        <v>4</v>
      </c>
      <c r="L135" s="38">
        <v>85</v>
      </c>
      <c r="M135" s="6">
        <v>0</v>
      </c>
      <c r="N135" s="38">
        <v>340</v>
      </c>
      <c r="O135" s="38">
        <v>0</v>
      </c>
      <c r="P135" s="54">
        <v>340</v>
      </c>
      <c r="Q135" s="38">
        <v>174.43</v>
      </c>
      <c r="R135" s="38">
        <v>165.57</v>
      </c>
      <c r="S135" s="6">
        <v>48.7</v>
      </c>
      <c r="T135" s="4" t="s">
        <v>44</v>
      </c>
      <c r="U135" s="16">
        <v>2</v>
      </c>
    </row>
    <row r="136" spans="1:21" x14ac:dyDescent="0.3">
      <c r="A136" s="13" t="s">
        <v>285</v>
      </c>
      <c r="B136" s="45">
        <v>45342</v>
      </c>
      <c r="C136" s="1" t="s">
        <v>191</v>
      </c>
      <c r="D136" s="41" t="s">
        <v>1373</v>
      </c>
      <c r="E136" s="1">
        <v>2024</v>
      </c>
      <c r="F136" s="1" t="s">
        <v>22</v>
      </c>
      <c r="G136" s="60" t="s">
        <v>66</v>
      </c>
      <c r="H136" s="2" t="s">
        <v>37</v>
      </c>
      <c r="I136" s="2" t="s">
        <v>25</v>
      </c>
      <c r="J136" s="2" t="s">
        <v>286</v>
      </c>
      <c r="K136" s="1">
        <v>8</v>
      </c>
      <c r="L136" s="37">
        <v>14.36</v>
      </c>
      <c r="M136" s="3">
        <v>15</v>
      </c>
      <c r="N136" s="37">
        <v>114.88</v>
      </c>
      <c r="O136" s="37">
        <v>17.23</v>
      </c>
      <c r="P136" s="53">
        <v>97.65</v>
      </c>
      <c r="Q136" s="37">
        <v>63.44</v>
      </c>
      <c r="R136" s="37">
        <v>34.21</v>
      </c>
      <c r="S136" s="3">
        <v>35</v>
      </c>
      <c r="T136" s="1" t="s">
        <v>27</v>
      </c>
      <c r="U136" s="15">
        <v>1</v>
      </c>
    </row>
    <row r="137" spans="1:21" x14ac:dyDescent="0.3">
      <c r="A137" s="14" t="s">
        <v>287</v>
      </c>
      <c r="B137" s="46">
        <v>45343</v>
      </c>
      <c r="C137" s="4" t="s">
        <v>191</v>
      </c>
      <c r="D137" s="42" t="s">
        <v>1373</v>
      </c>
      <c r="E137" s="4">
        <v>2024</v>
      </c>
      <c r="F137" s="4" t="s">
        <v>41</v>
      </c>
      <c r="G137" s="61" t="s">
        <v>42</v>
      </c>
      <c r="H137" s="5" t="s">
        <v>24</v>
      </c>
      <c r="I137" s="5" t="s">
        <v>31</v>
      </c>
      <c r="J137" s="5" t="s">
        <v>288</v>
      </c>
      <c r="K137" s="4">
        <v>7</v>
      </c>
      <c r="L137" s="38">
        <v>172</v>
      </c>
      <c r="M137" s="6">
        <v>0</v>
      </c>
      <c r="N137" s="38">
        <v>1204</v>
      </c>
      <c r="O137" s="38">
        <v>0</v>
      </c>
      <c r="P137" s="54">
        <v>1204</v>
      </c>
      <c r="Q137" s="38">
        <v>591.91999999999996</v>
      </c>
      <c r="R137" s="38">
        <v>612.08000000000004</v>
      </c>
      <c r="S137" s="6">
        <v>50.8</v>
      </c>
      <c r="T137" s="4" t="s">
        <v>27</v>
      </c>
      <c r="U137" s="16">
        <v>2</v>
      </c>
    </row>
    <row r="138" spans="1:21" x14ac:dyDescent="0.3">
      <c r="A138" s="13" t="s">
        <v>289</v>
      </c>
      <c r="B138" s="45">
        <v>45343</v>
      </c>
      <c r="C138" s="1" t="s">
        <v>191</v>
      </c>
      <c r="D138" s="41" t="s">
        <v>1373</v>
      </c>
      <c r="E138" s="1">
        <v>2024</v>
      </c>
      <c r="F138" s="1" t="s">
        <v>35</v>
      </c>
      <c r="G138" s="60" t="s">
        <v>54</v>
      </c>
      <c r="H138" s="2" t="s">
        <v>37</v>
      </c>
      <c r="I138" s="2" t="s">
        <v>75</v>
      </c>
      <c r="J138" s="2" t="s">
        <v>290</v>
      </c>
      <c r="K138" s="1">
        <v>19</v>
      </c>
      <c r="L138" s="37">
        <v>279.27999999999997</v>
      </c>
      <c r="M138" s="3">
        <v>15</v>
      </c>
      <c r="N138" s="37">
        <v>5306.32</v>
      </c>
      <c r="O138" s="37">
        <v>795.95</v>
      </c>
      <c r="P138" s="53">
        <v>4510.37</v>
      </c>
      <c r="Q138" s="37">
        <v>2627.56</v>
      </c>
      <c r="R138" s="37">
        <v>1882.81</v>
      </c>
      <c r="S138" s="3">
        <v>41.7</v>
      </c>
      <c r="T138" s="1" t="s">
        <v>27</v>
      </c>
      <c r="U138" s="15">
        <v>3</v>
      </c>
    </row>
    <row r="139" spans="1:21" x14ac:dyDescent="0.3">
      <c r="A139" s="14" t="s">
        <v>291</v>
      </c>
      <c r="B139" s="46">
        <v>45343</v>
      </c>
      <c r="C139" s="4" t="s">
        <v>191</v>
      </c>
      <c r="D139" s="42" t="s">
        <v>1373</v>
      </c>
      <c r="E139" s="4">
        <v>2024</v>
      </c>
      <c r="F139" s="4" t="s">
        <v>29</v>
      </c>
      <c r="G139" s="61" t="s">
        <v>54</v>
      </c>
      <c r="H139" s="5" t="s">
        <v>24</v>
      </c>
      <c r="I139" s="5" t="s">
        <v>31</v>
      </c>
      <c r="J139" s="5" t="s">
        <v>292</v>
      </c>
      <c r="K139" s="4">
        <v>12</v>
      </c>
      <c r="L139" s="38">
        <v>96.06</v>
      </c>
      <c r="M139" s="6">
        <v>0</v>
      </c>
      <c r="N139" s="38">
        <v>1152.72</v>
      </c>
      <c r="O139" s="38">
        <v>0</v>
      </c>
      <c r="P139" s="54">
        <v>1152.72</v>
      </c>
      <c r="Q139" s="38">
        <v>529.96</v>
      </c>
      <c r="R139" s="38">
        <v>622.76</v>
      </c>
      <c r="S139" s="6">
        <v>54</v>
      </c>
      <c r="T139" s="4" t="s">
        <v>44</v>
      </c>
      <c r="U139" s="16">
        <v>2</v>
      </c>
    </row>
    <row r="140" spans="1:21" x14ac:dyDescent="0.3">
      <c r="A140" s="13" t="s">
        <v>293</v>
      </c>
      <c r="B140" s="45">
        <v>45344</v>
      </c>
      <c r="C140" s="1" t="s">
        <v>191</v>
      </c>
      <c r="D140" s="41" t="s">
        <v>1373</v>
      </c>
      <c r="E140" s="1">
        <v>2024</v>
      </c>
      <c r="F140" s="1" t="s">
        <v>35</v>
      </c>
      <c r="G140" s="60" t="s">
        <v>66</v>
      </c>
      <c r="H140" s="2" t="s">
        <v>24</v>
      </c>
      <c r="I140" s="2" t="s">
        <v>25</v>
      </c>
      <c r="J140" s="2" t="s">
        <v>294</v>
      </c>
      <c r="K140" s="1">
        <v>20</v>
      </c>
      <c r="L140" s="37">
        <v>27.67</v>
      </c>
      <c r="M140" s="3">
        <v>15</v>
      </c>
      <c r="N140" s="37">
        <v>553.4</v>
      </c>
      <c r="O140" s="37">
        <v>83.01</v>
      </c>
      <c r="P140" s="53">
        <v>470.39</v>
      </c>
      <c r="Q140" s="37">
        <v>196.15</v>
      </c>
      <c r="R140" s="37">
        <v>274.24</v>
      </c>
      <c r="S140" s="3">
        <v>58.3</v>
      </c>
      <c r="T140" s="1" t="s">
        <v>44</v>
      </c>
      <c r="U140" s="15">
        <v>1</v>
      </c>
    </row>
    <row r="141" spans="1:21" x14ac:dyDescent="0.3">
      <c r="A141" s="14" t="s">
        <v>295</v>
      </c>
      <c r="B141" s="46">
        <v>45344</v>
      </c>
      <c r="C141" s="4" t="s">
        <v>191</v>
      </c>
      <c r="D141" s="42" t="s">
        <v>1373</v>
      </c>
      <c r="E141" s="4">
        <v>2024</v>
      </c>
      <c r="F141" s="4" t="s">
        <v>41</v>
      </c>
      <c r="G141" s="61" t="s">
        <v>46</v>
      </c>
      <c r="H141" s="5" t="s">
        <v>37</v>
      </c>
      <c r="I141" s="5" t="s">
        <v>25</v>
      </c>
      <c r="J141" s="5" t="s">
        <v>296</v>
      </c>
      <c r="K141" s="4">
        <v>14</v>
      </c>
      <c r="L141" s="38">
        <v>43.04</v>
      </c>
      <c r="M141" s="6">
        <v>5</v>
      </c>
      <c r="N141" s="38">
        <v>602.55999999999995</v>
      </c>
      <c r="O141" s="38">
        <v>30.13</v>
      </c>
      <c r="P141" s="54">
        <v>572.42999999999995</v>
      </c>
      <c r="Q141" s="38">
        <v>332.95</v>
      </c>
      <c r="R141" s="38">
        <v>239.48</v>
      </c>
      <c r="S141" s="6">
        <v>41.8</v>
      </c>
      <c r="T141" s="4" t="s">
        <v>33</v>
      </c>
      <c r="U141" s="16">
        <v>2</v>
      </c>
    </row>
    <row r="142" spans="1:21" x14ac:dyDescent="0.3">
      <c r="A142" s="13" t="s">
        <v>297</v>
      </c>
      <c r="B142" s="45">
        <v>45344</v>
      </c>
      <c r="C142" s="1" t="s">
        <v>191</v>
      </c>
      <c r="D142" s="41" t="s">
        <v>1373</v>
      </c>
      <c r="E142" s="1">
        <v>2024</v>
      </c>
      <c r="F142" s="1" t="s">
        <v>41</v>
      </c>
      <c r="G142" s="60" t="s">
        <v>42</v>
      </c>
      <c r="H142" s="2" t="s">
        <v>59</v>
      </c>
      <c r="I142" s="2" t="s">
        <v>38</v>
      </c>
      <c r="J142" s="2" t="s">
        <v>298</v>
      </c>
      <c r="K142" s="1">
        <v>6</v>
      </c>
      <c r="L142" s="37">
        <v>53.39</v>
      </c>
      <c r="M142" s="3">
        <v>0</v>
      </c>
      <c r="N142" s="37">
        <v>320.33999999999997</v>
      </c>
      <c r="O142" s="37">
        <v>0</v>
      </c>
      <c r="P142" s="53">
        <v>320.33999999999997</v>
      </c>
      <c r="Q142" s="37">
        <v>182.58</v>
      </c>
      <c r="R142" s="37">
        <v>137.76</v>
      </c>
      <c r="S142" s="3">
        <v>43</v>
      </c>
      <c r="T142" s="1" t="s">
        <v>44</v>
      </c>
      <c r="U142" s="15">
        <v>1</v>
      </c>
    </row>
    <row r="143" spans="1:21" x14ac:dyDescent="0.3">
      <c r="A143" s="14" t="s">
        <v>299</v>
      </c>
      <c r="B143" s="46">
        <v>45344</v>
      </c>
      <c r="C143" s="4" t="s">
        <v>191</v>
      </c>
      <c r="D143" s="42" t="s">
        <v>1373</v>
      </c>
      <c r="E143" s="4">
        <v>2024</v>
      </c>
      <c r="F143" s="4" t="s">
        <v>41</v>
      </c>
      <c r="G143" s="61" t="s">
        <v>30</v>
      </c>
      <c r="H143" s="5" t="s">
        <v>50</v>
      </c>
      <c r="I143" s="5" t="s">
        <v>31</v>
      </c>
      <c r="J143" s="5" t="s">
        <v>300</v>
      </c>
      <c r="K143" s="4">
        <v>20</v>
      </c>
      <c r="L143" s="38">
        <v>82</v>
      </c>
      <c r="M143" s="6">
        <v>0</v>
      </c>
      <c r="N143" s="38">
        <v>1640</v>
      </c>
      <c r="O143" s="38">
        <v>0</v>
      </c>
      <c r="P143" s="54">
        <v>1640</v>
      </c>
      <c r="Q143" s="38">
        <v>717.17</v>
      </c>
      <c r="R143" s="38">
        <v>922.83</v>
      </c>
      <c r="S143" s="6">
        <v>56.3</v>
      </c>
      <c r="T143" s="4" t="s">
        <v>44</v>
      </c>
      <c r="U143" s="16">
        <v>1</v>
      </c>
    </row>
    <row r="144" spans="1:21" x14ac:dyDescent="0.3">
      <c r="A144" s="13" t="s">
        <v>301</v>
      </c>
      <c r="B144" s="45">
        <v>45344</v>
      </c>
      <c r="C144" s="1" t="s">
        <v>191</v>
      </c>
      <c r="D144" s="41" t="s">
        <v>1373</v>
      </c>
      <c r="E144" s="1">
        <v>2024</v>
      </c>
      <c r="F144" s="1" t="s">
        <v>41</v>
      </c>
      <c r="G144" s="60" t="s">
        <v>30</v>
      </c>
      <c r="H144" s="2" t="s">
        <v>24</v>
      </c>
      <c r="I144" s="2" t="s">
        <v>55</v>
      </c>
      <c r="J144" s="2" t="s">
        <v>302</v>
      </c>
      <c r="K144" s="1">
        <v>5</v>
      </c>
      <c r="L144" s="37">
        <v>1141.8900000000001</v>
      </c>
      <c r="M144" s="3">
        <v>5</v>
      </c>
      <c r="N144" s="37">
        <v>5709.45</v>
      </c>
      <c r="O144" s="37">
        <v>285.47000000000003</v>
      </c>
      <c r="P144" s="53">
        <v>5423.98</v>
      </c>
      <c r="Q144" s="37">
        <v>2654.55</v>
      </c>
      <c r="R144" s="37">
        <v>2769.43</v>
      </c>
      <c r="S144" s="3">
        <v>51.1</v>
      </c>
      <c r="T144" s="1" t="s">
        <v>27</v>
      </c>
      <c r="U144" s="15">
        <v>5</v>
      </c>
    </row>
    <row r="145" spans="1:21" x14ac:dyDescent="0.3">
      <c r="A145" s="14" t="s">
        <v>303</v>
      </c>
      <c r="B145" s="46">
        <v>45345</v>
      </c>
      <c r="C145" s="4" t="s">
        <v>191</v>
      </c>
      <c r="D145" s="42" t="s">
        <v>1373</v>
      </c>
      <c r="E145" s="4">
        <v>2024</v>
      </c>
      <c r="F145" s="4" t="s">
        <v>41</v>
      </c>
      <c r="G145" s="61" t="s">
        <v>36</v>
      </c>
      <c r="H145" s="5" t="s">
        <v>37</v>
      </c>
      <c r="I145" s="5" t="s">
        <v>47</v>
      </c>
      <c r="J145" s="5" t="s">
        <v>129</v>
      </c>
      <c r="K145" s="4">
        <v>7</v>
      </c>
      <c r="L145" s="38">
        <v>35.54</v>
      </c>
      <c r="M145" s="6">
        <v>5</v>
      </c>
      <c r="N145" s="38">
        <v>248.78</v>
      </c>
      <c r="O145" s="38">
        <v>12.44</v>
      </c>
      <c r="P145" s="54">
        <v>236.34</v>
      </c>
      <c r="Q145" s="38">
        <v>118.91</v>
      </c>
      <c r="R145" s="38">
        <v>117.43</v>
      </c>
      <c r="S145" s="6">
        <v>49.7</v>
      </c>
      <c r="T145" s="4" t="s">
        <v>33</v>
      </c>
      <c r="U145" s="16">
        <v>4</v>
      </c>
    </row>
    <row r="146" spans="1:21" x14ac:dyDescent="0.3">
      <c r="A146" s="13" t="s">
        <v>304</v>
      </c>
      <c r="B146" s="45">
        <v>45346</v>
      </c>
      <c r="C146" s="1" t="s">
        <v>191</v>
      </c>
      <c r="D146" s="41" t="s">
        <v>1373</v>
      </c>
      <c r="E146" s="1">
        <v>2024</v>
      </c>
      <c r="F146" s="1" t="s">
        <v>22</v>
      </c>
      <c r="G146" s="60" t="s">
        <v>46</v>
      </c>
      <c r="H146" s="2" t="s">
        <v>50</v>
      </c>
      <c r="I146" s="2" t="s">
        <v>75</v>
      </c>
      <c r="J146" s="2" t="s">
        <v>305</v>
      </c>
      <c r="K146" s="1">
        <v>7</v>
      </c>
      <c r="L146" s="37">
        <v>82.54</v>
      </c>
      <c r="M146" s="3">
        <v>5</v>
      </c>
      <c r="N146" s="37">
        <v>577.78</v>
      </c>
      <c r="O146" s="37">
        <v>28.89</v>
      </c>
      <c r="P146" s="53">
        <v>548.89</v>
      </c>
      <c r="Q146" s="37">
        <v>257.45</v>
      </c>
      <c r="R146" s="37">
        <v>291.44</v>
      </c>
      <c r="S146" s="3">
        <v>53.1</v>
      </c>
      <c r="T146" s="1" t="s">
        <v>44</v>
      </c>
      <c r="U146" s="15">
        <v>2</v>
      </c>
    </row>
    <row r="147" spans="1:21" x14ac:dyDescent="0.3">
      <c r="A147" s="14" t="s">
        <v>306</v>
      </c>
      <c r="B147" s="46">
        <v>45346</v>
      </c>
      <c r="C147" s="4" t="s">
        <v>191</v>
      </c>
      <c r="D147" s="42" t="s">
        <v>1373</v>
      </c>
      <c r="E147" s="4">
        <v>2024</v>
      </c>
      <c r="F147" s="4" t="s">
        <v>41</v>
      </c>
      <c r="G147" s="61" t="s">
        <v>58</v>
      </c>
      <c r="H147" s="5" t="s">
        <v>50</v>
      </c>
      <c r="I147" s="5" t="s">
        <v>47</v>
      </c>
      <c r="J147" s="5" t="s">
        <v>129</v>
      </c>
      <c r="K147" s="4">
        <v>2</v>
      </c>
      <c r="L147" s="38">
        <v>235.96</v>
      </c>
      <c r="M147" s="6">
        <v>15</v>
      </c>
      <c r="N147" s="38">
        <v>471.92</v>
      </c>
      <c r="O147" s="38">
        <v>70.790000000000006</v>
      </c>
      <c r="P147" s="54">
        <v>401.13</v>
      </c>
      <c r="Q147" s="38">
        <v>200.83</v>
      </c>
      <c r="R147" s="38">
        <v>200.3</v>
      </c>
      <c r="S147" s="6">
        <v>49.9</v>
      </c>
      <c r="T147" s="4" t="s">
        <v>33</v>
      </c>
      <c r="U147" s="16">
        <v>2</v>
      </c>
    </row>
    <row r="148" spans="1:21" x14ac:dyDescent="0.3">
      <c r="A148" s="13" t="s">
        <v>307</v>
      </c>
      <c r="B148" s="45">
        <v>45346</v>
      </c>
      <c r="C148" s="1" t="s">
        <v>191</v>
      </c>
      <c r="D148" s="41" t="s">
        <v>1373</v>
      </c>
      <c r="E148" s="1">
        <v>2024</v>
      </c>
      <c r="F148" s="1" t="s">
        <v>22</v>
      </c>
      <c r="G148" s="60" t="s">
        <v>58</v>
      </c>
      <c r="H148" s="2" t="s">
        <v>37</v>
      </c>
      <c r="I148" s="2" t="s">
        <v>25</v>
      </c>
      <c r="J148" s="2" t="s">
        <v>308</v>
      </c>
      <c r="K148" s="1">
        <v>19</v>
      </c>
      <c r="L148" s="37">
        <v>61.94</v>
      </c>
      <c r="M148" s="3">
        <v>0</v>
      </c>
      <c r="N148" s="37">
        <v>1176.8599999999999</v>
      </c>
      <c r="O148" s="37">
        <v>0</v>
      </c>
      <c r="P148" s="53">
        <v>1176.8599999999999</v>
      </c>
      <c r="Q148" s="37">
        <v>645.86</v>
      </c>
      <c r="R148" s="37">
        <v>531</v>
      </c>
      <c r="S148" s="3">
        <v>45.1</v>
      </c>
      <c r="T148" s="1" t="s">
        <v>44</v>
      </c>
      <c r="U148" s="15">
        <v>4</v>
      </c>
    </row>
    <row r="149" spans="1:21" x14ac:dyDescent="0.3">
      <c r="A149" s="14" t="s">
        <v>309</v>
      </c>
      <c r="B149" s="46">
        <v>45346</v>
      </c>
      <c r="C149" s="4" t="s">
        <v>191</v>
      </c>
      <c r="D149" s="42" t="s">
        <v>1373</v>
      </c>
      <c r="E149" s="4">
        <v>2024</v>
      </c>
      <c r="F149" s="4" t="s">
        <v>35</v>
      </c>
      <c r="G149" s="61" t="s">
        <v>122</v>
      </c>
      <c r="H149" s="5" t="s">
        <v>59</v>
      </c>
      <c r="I149" s="5" t="s">
        <v>47</v>
      </c>
      <c r="J149" s="5" t="s">
        <v>310</v>
      </c>
      <c r="K149" s="4">
        <v>12</v>
      </c>
      <c r="L149" s="38">
        <v>233.09</v>
      </c>
      <c r="M149" s="6">
        <v>10</v>
      </c>
      <c r="N149" s="38">
        <v>2797.08</v>
      </c>
      <c r="O149" s="38">
        <v>279.70999999999998</v>
      </c>
      <c r="P149" s="54">
        <v>2517.37</v>
      </c>
      <c r="Q149" s="38">
        <v>1521.48</v>
      </c>
      <c r="R149" s="38">
        <v>995.89</v>
      </c>
      <c r="S149" s="6">
        <v>39.6</v>
      </c>
      <c r="T149" s="4" t="s">
        <v>33</v>
      </c>
      <c r="U149" s="16">
        <v>2</v>
      </c>
    </row>
    <row r="150" spans="1:21" x14ac:dyDescent="0.3">
      <c r="A150" s="13" t="s">
        <v>311</v>
      </c>
      <c r="B150" s="45">
        <v>45347</v>
      </c>
      <c r="C150" s="1" t="s">
        <v>191</v>
      </c>
      <c r="D150" s="41" t="s">
        <v>1373</v>
      </c>
      <c r="E150" s="1">
        <v>2024</v>
      </c>
      <c r="F150" s="1" t="s">
        <v>35</v>
      </c>
      <c r="G150" s="60" t="s">
        <v>23</v>
      </c>
      <c r="H150" s="2" t="s">
        <v>59</v>
      </c>
      <c r="I150" s="2" t="s">
        <v>55</v>
      </c>
      <c r="J150" s="2" t="s">
        <v>115</v>
      </c>
      <c r="K150" s="1">
        <v>18</v>
      </c>
      <c r="L150" s="37">
        <v>138.41999999999999</v>
      </c>
      <c r="M150" s="3">
        <v>15</v>
      </c>
      <c r="N150" s="37">
        <v>2491.56</v>
      </c>
      <c r="O150" s="37">
        <v>373.73</v>
      </c>
      <c r="P150" s="53">
        <v>2117.83</v>
      </c>
      <c r="Q150" s="37">
        <v>1253.67</v>
      </c>
      <c r="R150" s="37">
        <v>864.16</v>
      </c>
      <c r="S150" s="3">
        <v>40.799999999999997</v>
      </c>
      <c r="T150" s="1" t="s">
        <v>27</v>
      </c>
      <c r="U150" s="15">
        <v>5</v>
      </c>
    </row>
    <row r="151" spans="1:21" x14ac:dyDescent="0.3">
      <c r="A151" s="14" t="s">
        <v>312</v>
      </c>
      <c r="B151" s="46">
        <v>45347</v>
      </c>
      <c r="C151" s="4" t="s">
        <v>191</v>
      </c>
      <c r="D151" s="42" t="s">
        <v>1373</v>
      </c>
      <c r="E151" s="4">
        <v>2024</v>
      </c>
      <c r="F151" s="4" t="s">
        <v>22</v>
      </c>
      <c r="G151" s="61" t="s">
        <v>36</v>
      </c>
      <c r="H151" s="5" t="s">
        <v>37</v>
      </c>
      <c r="I151" s="5" t="s">
        <v>47</v>
      </c>
      <c r="J151" s="5" t="s">
        <v>313</v>
      </c>
      <c r="K151" s="4">
        <v>9</v>
      </c>
      <c r="L151" s="38">
        <v>86.09</v>
      </c>
      <c r="M151" s="6">
        <v>10</v>
      </c>
      <c r="N151" s="38">
        <v>774.81</v>
      </c>
      <c r="O151" s="38">
        <v>77.48</v>
      </c>
      <c r="P151" s="54">
        <v>697.33</v>
      </c>
      <c r="Q151" s="38">
        <v>372.52</v>
      </c>
      <c r="R151" s="38">
        <v>324.81</v>
      </c>
      <c r="S151" s="6">
        <v>46.6</v>
      </c>
      <c r="T151" s="4" t="s">
        <v>44</v>
      </c>
      <c r="U151" s="16">
        <v>3</v>
      </c>
    </row>
    <row r="152" spans="1:21" x14ac:dyDescent="0.3">
      <c r="A152" s="13" t="s">
        <v>314</v>
      </c>
      <c r="B152" s="45">
        <v>45347</v>
      </c>
      <c r="C152" s="1" t="s">
        <v>191</v>
      </c>
      <c r="D152" s="41" t="s">
        <v>1373</v>
      </c>
      <c r="E152" s="1">
        <v>2024</v>
      </c>
      <c r="F152" s="1" t="s">
        <v>53</v>
      </c>
      <c r="G152" s="60" t="s">
        <v>122</v>
      </c>
      <c r="H152" s="2" t="s">
        <v>59</v>
      </c>
      <c r="I152" s="2" t="s">
        <v>38</v>
      </c>
      <c r="J152" s="2" t="s">
        <v>315</v>
      </c>
      <c r="K152" s="1">
        <v>20</v>
      </c>
      <c r="L152" s="37">
        <v>32.520000000000003</v>
      </c>
      <c r="M152" s="3">
        <v>20</v>
      </c>
      <c r="N152" s="37">
        <v>650.4</v>
      </c>
      <c r="O152" s="37">
        <v>130.08000000000001</v>
      </c>
      <c r="P152" s="53">
        <v>520.32000000000005</v>
      </c>
      <c r="Q152" s="37">
        <v>208</v>
      </c>
      <c r="R152" s="37">
        <v>312.32</v>
      </c>
      <c r="S152" s="3">
        <v>60</v>
      </c>
      <c r="T152" s="1" t="s">
        <v>44</v>
      </c>
      <c r="U152" s="15">
        <v>4</v>
      </c>
    </row>
    <row r="153" spans="1:21" x14ac:dyDescent="0.3">
      <c r="A153" s="14" t="s">
        <v>316</v>
      </c>
      <c r="B153" s="46">
        <v>45347</v>
      </c>
      <c r="C153" s="4" t="s">
        <v>191</v>
      </c>
      <c r="D153" s="42" t="s">
        <v>1373</v>
      </c>
      <c r="E153" s="4">
        <v>2024</v>
      </c>
      <c r="F153" s="4" t="s">
        <v>41</v>
      </c>
      <c r="G153" s="61" t="s">
        <v>36</v>
      </c>
      <c r="H153" s="5" t="s">
        <v>50</v>
      </c>
      <c r="I153" s="5" t="s">
        <v>47</v>
      </c>
      <c r="J153" s="5" t="s">
        <v>192</v>
      </c>
      <c r="K153" s="4">
        <v>18</v>
      </c>
      <c r="L153" s="38">
        <v>170.91</v>
      </c>
      <c r="M153" s="6">
        <v>0</v>
      </c>
      <c r="N153" s="38">
        <v>3076.38</v>
      </c>
      <c r="O153" s="38">
        <v>0</v>
      </c>
      <c r="P153" s="54">
        <v>3076.38</v>
      </c>
      <c r="Q153" s="38">
        <v>1551.24</v>
      </c>
      <c r="R153" s="38">
        <v>1525.14</v>
      </c>
      <c r="S153" s="6">
        <v>49.6</v>
      </c>
      <c r="T153" s="4" t="s">
        <v>44</v>
      </c>
      <c r="U153" s="16">
        <v>4</v>
      </c>
    </row>
    <row r="154" spans="1:21" x14ac:dyDescent="0.3">
      <c r="A154" s="13" t="s">
        <v>317</v>
      </c>
      <c r="B154" s="45">
        <v>45348</v>
      </c>
      <c r="C154" s="1" t="s">
        <v>191</v>
      </c>
      <c r="D154" s="41" t="s">
        <v>1373</v>
      </c>
      <c r="E154" s="1">
        <v>2024</v>
      </c>
      <c r="F154" s="1" t="s">
        <v>41</v>
      </c>
      <c r="G154" s="60" t="s">
        <v>30</v>
      </c>
      <c r="H154" s="2" t="s">
        <v>37</v>
      </c>
      <c r="I154" s="2" t="s">
        <v>25</v>
      </c>
      <c r="J154" s="2" t="s">
        <v>71</v>
      </c>
      <c r="K154" s="1">
        <v>6</v>
      </c>
      <c r="L154" s="37">
        <v>49.02</v>
      </c>
      <c r="M154" s="3">
        <v>0</v>
      </c>
      <c r="N154" s="37">
        <v>294.12</v>
      </c>
      <c r="O154" s="37">
        <v>0</v>
      </c>
      <c r="P154" s="53">
        <v>294.12</v>
      </c>
      <c r="Q154" s="37">
        <v>142.31</v>
      </c>
      <c r="R154" s="37">
        <v>151.81</v>
      </c>
      <c r="S154" s="3">
        <v>51.6</v>
      </c>
      <c r="T154" s="1" t="s">
        <v>44</v>
      </c>
      <c r="U154" s="15">
        <v>3</v>
      </c>
    </row>
    <row r="155" spans="1:21" x14ac:dyDescent="0.3">
      <c r="A155" s="14" t="s">
        <v>318</v>
      </c>
      <c r="B155" s="46">
        <v>45349</v>
      </c>
      <c r="C155" s="4" t="s">
        <v>191</v>
      </c>
      <c r="D155" s="42" t="s">
        <v>1373</v>
      </c>
      <c r="E155" s="4">
        <v>2024</v>
      </c>
      <c r="F155" s="4" t="s">
        <v>35</v>
      </c>
      <c r="G155" s="61" t="s">
        <v>122</v>
      </c>
      <c r="H155" s="5" t="s">
        <v>24</v>
      </c>
      <c r="I155" s="5" t="s">
        <v>25</v>
      </c>
      <c r="J155" s="5" t="s">
        <v>26</v>
      </c>
      <c r="K155" s="4">
        <v>11</v>
      </c>
      <c r="L155" s="38">
        <v>144.47</v>
      </c>
      <c r="M155" s="6">
        <v>15</v>
      </c>
      <c r="N155" s="38">
        <v>1589.17</v>
      </c>
      <c r="O155" s="38">
        <v>238.38</v>
      </c>
      <c r="P155" s="54">
        <v>1350.79</v>
      </c>
      <c r="Q155" s="38">
        <v>545.37</v>
      </c>
      <c r="R155" s="38">
        <v>805.42</v>
      </c>
      <c r="S155" s="6">
        <v>59.6</v>
      </c>
      <c r="T155" s="4" t="s">
        <v>44</v>
      </c>
      <c r="U155" s="16">
        <v>4</v>
      </c>
    </row>
    <row r="156" spans="1:21" x14ac:dyDescent="0.3">
      <c r="A156" s="13" t="s">
        <v>319</v>
      </c>
      <c r="B156" s="45">
        <v>45349</v>
      </c>
      <c r="C156" s="1" t="s">
        <v>191</v>
      </c>
      <c r="D156" s="41" t="s">
        <v>1373</v>
      </c>
      <c r="E156" s="1">
        <v>2024</v>
      </c>
      <c r="F156" s="1" t="s">
        <v>22</v>
      </c>
      <c r="G156" s="60" t="s">
        <v>36</v>
      </c>
      <c r="H156" s="2" t="s">
        <v>37</v>
      </c>
      <c r="I156" s="2" t="s">
        <v>38</v>
      </c>
      <c r="J156" s="2" t="s">
        <v>320</v>
      </c>
      <c r="K156" s="1">
        <v>10</v>
      </c>
      <c r="L156" s="37">
        <v>6.94</v>
      </c>
      <c r="M156" s="3">
        <v>15</v>
      </c>
      <c r="N156" s="37">
        <v>69.400000000000006</v>
      </c>
      <c r="O156" s="37">
        <v>10.41</v>
      </c>
      <c r="P156" s="53">
        <v>58.99</v>
      </c>
      <c r="Q156" s="37">
        <v>37.44</v>
      </c>
      <c r="R156" s="37">
        <v>21.55</v>
      </c>
      <c r="S156" s="3">
        <v>36.5</v>
      </c>
      <c r="T156" s="1" t="s">
        <v>44</v>
      </c>
      <c r="U156" s="15">
        <v>1</v>
      </c>
    </row>
    <row r="157" spans="1:21" x14ac:dyDescent="0.3">
      <c r="A157" s="14" t="s">
        <v>321</v>
      </c>
      <c r="B157" s="46">
        <v>45349</v>
      </c>
      <c r="C157" s="4" t="s">
        <v>191</v>
      </c>
      <c r="D157" s="42" t="s">
        <v>1373</v>
      </c>
      <c r="E157" s="4">
        <v>2024</v>
      </c>
      <c r="F157" s="4" t="s">
        <v>41</v>
      </c>
      <c r="G157" s="61" t="s">
        <v>30</v>
      </c>
      <c r="H157" s="5" t="s">
        <v>59</v>
      </c>
      <c r="I157" s="5" t="s">
        <v>75</v>
      </c>
      <c r="J157" s="5" t="s">
        <v>322</v>
      </c>
      <c r="K157" s="4">
        <v>10</v>
      </c>
      <c r="L157" s="38">
        <v>94.77</v>
      </c>
      <c r="M157" s="6">
        <v>0</v>
      </c>
      <c r="N157" s="38">
        <v>947.7</v>
      </c>
      <c r="O157" s="38">
        <v>0</v>
      </c>
      <c r="P157" s="54">
        <v>947.7</v>
      </c>
      <c r="Q157" s="38">
        <v>519.16999999999996</v>
      </c>
      <c r="R157" s="38">
        <v>428.53</v>
      </c>
      <c r="S157" s="6">
        <v>45.2</v>
      </c>
      <c r="T157" s="4" t="s">
        <v>33</v>
      </c>
      <c r="U157" s="16">
        <v>3</v>
      </c>
    </row>
    <row r="158" spans="1:21" x14ac:dyDescent="0.3">
      <c r="A158" s="13" t="s">
        <v>323</v>
      </c>
      <c r="B158" s="45">
        <v>45349</v>
      </c>
      <c r="C158" s="1" t="s">
        <v>191</v>
      </c>
      <c r="D158" s="41" t="s">
        <v>1373</v>
      </c>
      <c r="E158" s="1">
        <v>2024</v>
      </c>
      <c r="F158" s="1" t="s">
        <v>35</v>
      </c>
      <c r="G158" s="60" t="s">
        <v>36</v>
      </c>
      <c r="H158" s="2" t="s">
        <v>50</v>
      </c>
      <c r="I158" s="2" t="s">
        <v>31</v>
      </c>
      <c r="J158" s="2" t="s">
        <v>324</v>
      </c>
      <c r="K158" s="1">
        <v>19</v>
      </c>
      <c r="L158" s="37">
        <v>110.78</v>
      </c>
      <c r="M158" s="3">
        <v>15</v>
      </c>
      <c r="N158" s="37">
        <v>2104.8200000000002</v>
      </c>
      <c r="O158" s="37">
        <v>315.72000000000003</v>
      </c>
      <c r="P158" s="53">
        <v>1789.1</v>
      </c>
      <c r="Q158" s="37">
        <v>1145.5999999999999</v>
      </c>
      <c r="R158" s="37">
        <v>643.5</v>
      </c>
      <c r="S158" s="3">
        <v>36</v>
      </c>
      <c r="T158" s="1" t="s">
        <v>44</v>
      </c>
      <c r="U158" s="15">
        <v>1</v>
      </c>
    </row>
    <row r="159" spans="1:21" x14ac:dyDescent="0.3">
      <c r="A159" s="14" t="s">
        <v>325</v>
      </c>
      <c r="B159" s="46">
        <v>45350</v>
      </c>
      <c r="C159" s="4" t="s">
        <v>191</v>
      </c>
      <c r="D159" s="42" t="s">
        <v>1373</v>
      </c>
      <c r="E159" s="4">
        <v>2024</v>
      </c>
      <c r="F159" s="4" t="s">
        <v>41</v>
      </c>
      <c r="G159" s="61" t="s">
        <v>23</v>
      </c>
      <c r="H159" s="5" t="s">
        <v>50</v>
      </c>
      <c r="I159" s="5" t="s">
        <v>75</v>
      </c>
      <c r="J159" s="5" t="s">
        <v>326</v>
      </c>
      <c r="K159" s="4">
        <v>9</v>
      </c>
      <c r="L159" s="38">
        <v>367.58</v>
      </c>
      <c r="M159" s="6">
        <v>10</v>
      </c>
      <c r="N159" s="38">
        <v>3308.22</v>
      </c>
      <c r="O159" s="38">
        <v>330.82</v>
      </c>
      <c r="P159" s="54">
        <v>2977.4</v>
      </c>
      <c r="Q159" s="38">
        <v>1699.43</v>
      </c>
      <c r="R159" s="38">
        <v>1277.97</v>
      </c>
      <c r="S159" s="6">
        <v>42.9</v>
      </c>
      <c r="T159" s="4" t="s">
        <v>44</v>
      </c>
      <c r="U159" s="16">
        <v>2</v>
      </c>
    </row>
    <row r="160" spans="1:21" x14ac:dyDescent="0.3">
      <c r="A160" s="13" t="s">
        <v>327</v>
      </c>
      <c r="B160" s="45">
        <v>45350</v>
      </c>
      <c r="C160" s="1" t="s">
        <v>191</v>
      </c>
      <c r="D160" s="41" t="s">
        <v>1373</v>
      </c>
      <c r="E160" s="1">
        <v>2024</v>
      </c>
      <c r="F160" s="1" t="s">
        <v>22</v>
      </c>
      <c r="G160" s="60" t="s">
        <v>36</v>
      </c>
      <c r="H160" s="2" t="s">
        <v>24</v>
      </c>
      <c r="I160" s="2" t="s">
        <v>25</v>
      </c>
      <c r="J160" s="2" t="s">
        <v>328</v>
      </c>
      <c r="K160" s="1">
        <v>17</v>
      </c>
      <c r="L160" s="37">
        <v>26.49</v>
      </c>
      <c r="M160" s="3">
        <v>15</v>
      </c>
      <c r="N160" s="37">
        <v>450.33</v>
      </c>
      <c r="O160" s="37">
        <v>67.55</v>
      </c>
      <c r="P160" s="53">
        <v>382.78</v>
      </c>
      <c r="Q160" s="37">
        <v>189.5</v>
      </c>
      <c r="R160" s="37">
        <v>193.28</v>
      </c>
      <c r="S160" s="3">
        <v>50.5</v>
      </c>
      <c r="T160" s="1" t="s">
        <v>44</v>
      </c>
      <c r="U160" s="15">
        <v>1</v>
      </c>
    </row>
    <row r="161" spans="1:21" x14ac:dyDescent="0.3">
      <c r="A161" s="14" t="s">
        <v>329</v>
      </c>
      <c r="B161" s="46">
        <v>45350</v>
      </c>
      <c r="C161" s="4" t="s">
        <v>191</v>
      </c>
      <c r="D161" s="42" t="s">
        <v>1373</v>
      </c>
      <c r="E161" s="4">
        <v>2024</v>
      </c>
      <c r="F161" s="4" t="s">
        <v>53</v>
      </c>
      <c r="G161" s="61" t="s">
        <v>23</v>
      </c>
      <c r="H161" s="5" t="s">
        <v>37</v>
      </c>
      <c r="I161" s="5" t="s">
        <v>75</v>
      </c>
      <c r="J161" s="5" t="s">
        <v>330</v>
      </c>
      <c r="K161" s="4">
        <v>4</v>
      </c>
      <c r="L161" s="38">
        <v>315.61</v>
      </c>
      <c r="M161" s="6">
        <v>20</v>
      </c>
      <c r="N161" s="38">
        <v>1262.44</v>
      </c>
      <c r="O161" s="38">
        <v>252.49</v>
      </c>
      <c r="P161" s="54">
        <v>1009.95</v>
      </c>
      <c r="Q161" s="38">
        <v>462.19</v>
      </c>
      <c r="R161" s="38">
        <v>547.76</v>
      </c>
      <c r="S161" s="6">
        <v>54.2</v>
      </c>
      <c r="T161" s="4" t="s">
        <v>33</v>
      </c>
      <c r="U161" s="16">
        <v>1</v>
      </c>
    </row>
    <row r="162" spans="1:21" x14ac:dyDescent="0.3">
      <c r="A162" s="13" t="s">
        <v>331</v>
      </c>
      <c r="B162" s="45">
        <v>45350</v>
      </c>
      <c r="C162" s="1" t="s">
        <v>191</v>
      </c>
      <c r="D162" s="41" t="s">
        <v>1373</v>
      </c>
      <c r="E162" s="1">
        <v>2024</v>
      </c>
      <c r="F162" s="1" t="s">
        <v>29</v>
      </c>
      <c r="G162" s="60" t="s">
        <v>36</v>
      </c>
      <c r="H162" s="2" t="s">
        <v>59</v>
      </c>
      <c r="I162" s="2" t="s">
        <v>47</v>
      </c>
      <c r="J162" s="2" t="s">
        <v>332</v>
      </c>
      <c r="K162" s="1">
        <v>5</v>
      </c>
      <c r="L162" s="37">
        <v>357.94</v>
      </c>
      <c r="M162" s="3">
        <v>5</v>
      </c>
      <c r="N162" s="37">
        <v>1789.7</v>
      </c>
      <c r="O162" s="37">
        <v>89.49</v>
      </c>
      <c r="P162" s="53">
        <v>1700.21</v>
      </c>
      <c r="Q162" s="37">
        <v>706.69</v>
      </c>
      <c r="R162" s="37">
        <v>993.52</v>
      </c>
      <c r="S162" s="3">
        <v>58.4</v>
      </c>
      <c r="T162" s="1" t="s">
        <v>44</v>
      </c>
      <c r="U162" s="15">
        <v>5</v>
      </c>
    </row>
    <row r="163" spans="1:21" x14ac:dyDescent="0.3">
      <c r="A163" s="14" t="s">
        <v>333</v>
      </c>
      <c r="B163" s="46">
        <v>45350</v>
      </c>
      <c r="C163" s="4" t="s">
        <v>191</v>
      </c>
      <c r="D163" s="42" t="s">
        <v>1373</v>
      </c>
      <c r="E163" s="4">
        <v>2024</v>
      </c>
      <c r="F163" s="4" t="s">
        <v>35</v>
      </c>
      <c r="G163" s="61" t="s">
        <v>30</v>
      </c>
      <c r="H163" s="5" t="s">
        <v>24</v>
      </c>
      <c r="I163" s="5" t="s">
        <v>47</v>
      </c>
      <c r="J163" s="5" t="s">
        <v>227</v>
      </c>
      <c r="K163" s="4">
        <v>14</v>
      </c>
      <c r="L163" s="38">
        <v>122.99</v>
      </c>
      <c r="M163" s="6">
        <v>15</v>
      </c>
      <c r="N163" s="38">
        <v>1721.86</v>
      </c>
      <c r="O163" s="38">
        <v>258.27999999999997</v>
      </c>
      <c r="P163" s="54">
        <v>1463.58</v>
      </c>
      <c r="Q163" s="38">
        <v>726.36</v>
      </c>
      <c r="R163" s="38">
        <v>737.22</v>
      </c>
      <c r="S163" s="6">
        <v>50.4</v>
      </c>
      <c r="T163" s="4" t="s">
        <v>44</v>
      </c>
      <c r="U163" s="16">
        <v>2</v>
      </c>
    </row>
    <row r="164" spans="1:21" x14ac:dyDescent="0.3">
      <c r="A164" s="13" t="s">
        <v>334</v>
      </c>
      <c r="B164" s="45">
        <v>45351</v>
      </c>
      <c r="C164" s="1" t="s">
        <v>191</v>
      </c>
      <c r="D164" s="41" t="s">
        <v>1373</v>
      </c>
      <c r="E164" s="1">
        <v>2024</v>
      </c>
      <c r="F164" s="1" t="s">
        <v>35</v>
      </c>
      <c r="G164" s="60" t="s">
        <v>46</v>
      </c>
      <c r="H164" s="2" t="s">
        <v>37</v>
      </c>
      <c r="I164" s="2" t="s">
        <v>25</v>
      </c>
      <c r="J164" s="2" t="s">
        <v>125</v>
      </c>
      <c r="K164" s="1">
        <v>2</v>
      </c>
      <c r="L164" s="37">
        <v>95.66</v>
      </c>
      <c r="M164" s="3">
        <v>0</v>
      </c>
      <c r="N164" s="37">
        <v>191.32</v>
      </c>
      <c r="O164" s="37">
        <v>0</v>
      </c>
      <c r="P164" s="53">
        <v>191.32</v>
      </c>
      <c r="Q164" s="37">
        <v>70.569999999999993</v>
      </c>
      <c r="R164" s="37">
        <v>120.75</v>
      </c>
      <c r="S164" s="3">
        <v>63.1</v>
      </c>
      <c r="T164" s="1" t="s">
        <v>44</v>
      </c>
      <c r="U164" s="15">
        <v>5</v>
      </c>
    </row>
    <row r="165" spans="1:21" x14ac:dyDescent="0.3">
      <c r="A165" s="14" t="s">
        <v>335</v>
      </c>
      <c r="B165" s="46">
        <v>45351</v>
      </c>
      <c r="C165" s="4" t="s">
        <v>191</v>
      </c>
      <c r="D165" s="42" t="s">
        <v>1373</v>
      </c>
      <c r="E165" s="4">
        <v>2024</v>
      </c>
      <c r="F165" s="4" t="s">
        <v>29</v>
      </c>
      <c r="G165" s="61" t="s">
        <v>58</v>
      </c>
      <c r="H165" s="5" t="s">
        <v>59</v>
      </c>
      <c r="I165" s="5" t="s">
        <v>25</v>
      </c>
      <c r="J165" s="5" t="s">
        <v>71</v>
      </c>
      <c r="K165" s="4">
        <v>9</v>
      </c>
      <c r="L165" s="38">
        <v>107.16</v>
      </c>
      <c r="M165" s="6">
        <v>10</v>
      </c>
      <c r="N165" s="38">
        <v>964.44</v>
      </c>
      <c r="O165" s="38">
        <v>96.44</v>
      </c>
      <c r="P165" s="54">
        <v>868</v>
      </c>
      <c r="Q165" s="38">
        <v>400</v>
      </c>
      <c r="R165" s="38">
        <v>468</v>
      </c>
      <c r="S165" s="6">
        <v>53.9</v>
      </c>
      <c r="T165" s="4" t="s">
        <v>33</v>
      </c>
      <c r="U165" s="16">
        <v>2</v>
      </c>
    </row>
    <row r="166" spans="1:21" x14ac:dyDescent="0.3">
      <c r="A166" s="13" t="s">
        <v>336</v>
      </c>
      <c r="B166" s="45">
        <v>45351</v>
      </c>
      <c r="C166" s="1" t="s">
        <v>191</v>
      </c>
      <c r="D166" s="41" t="s">
        <v>1373</v>
      </c>
      <c r="E166" s="1">
        <v>2024</v>
      </c>
      <c r="F166" s="1" t="s">
        <v>29</v>
      </c>
      <c r="G166" s="60" t="s">
        <v>46</v>
      </c>
      <c r="H166" s="2" t="s">
        <v>59</v>
      </c>
      <c r="I166" s="2" t="s">
        <v>75</v>
      </c>
      <c r="J166" s="2" t="s">
        <v>160</v>
      </c>
      <c r="K166" s="1">
        <v>5</v>
      </c>
      <c r="L166" s="37">
        <v>399.49</v>
      </c>
      <c r="M166" s="3">
        <v>0</v>
      </c>
      <c r="N166" s="37">
        <v>1997.45</v>
      </c>
      <c r="O166" s="37">
        <v>0</v>
      </c>
      <c r="P166" s="53">
        <v>1997.45</v>
      </c>
      <c r="Q166" s="37">
        <v>724.76</v>
      </c>
      <c r="R166" s="37">
        <v>1272.69</v>
      </c>
      <c r="S166" s="3">
        <v>63.7</v>
      </c>
      <c r="T166" s="1" t="s">
        <v>44</v>
      </c>
      <c r="U166" s="15">
        <v>1</v>
      </c>
    </row>
    <row r="167" spans="1:21" x14ac:dyDescent="0.3">
      <c r="A167" s="14" t="s">
        <v>337</v>
      </c>
      <c r="B167" s="46">
        <v>45352</v>
      </c>
      <c r="C167" s="4" t="s">
        <v>338</v>
      </c>
      <c r="D167" s="42" t="s">
        <v>1373</v>
      </c>
      <c r="E167" s="4">
        <v>2024</v>
      </c>
      <c r="F167" s="4" t="s">
        <v>35</v>
      </c>
      <c r="G167" s="61" t="s">
        <v>66</v>
      </c>
      <c r="H167" s="5" t="s">
        <v>50</v>
      </c>
      <c r="I167" s="5" t="s">
        <v>75</v>
      </c>
      <c r="J167" s="5" t="s">
        <v>278</v>
      </c>
      <c r="K167" s="4">
        <v>5</v>
      </c>
      <c r="L167" s="38">
        <v>100.07</v>
      </c>
      <c r="M167" s="6">
        <v>20</v>
      </c>
      <c r="N167" s="38">
        <v>500.35</v>
      </c>
      <c r="O167" s="38">
        <v>100.07</v>
      </c>
      <c r="P167" s="54">
        <v>400.28</v>
      </c>
      <c r="Q167" s="38">
        <v>164.93</v>
      </c>
      <c r="R167" s="38">
        <v>235.35</v>
      </c>
      <c r="S167" s="6">
        <v>58.8</v>
      </c>
      <c r="T167" s="4" t="s">
        <v>44</v>
      </c>
      <c r="U167" s="16">
        <v>4</v>
      </c>
    </row>
    <row r="168" spans="1:21" x14ac:dyDescent="0.3">
      <c r="A168" s="13" t="s">
        <v>339</v>
      </c>
      <c r="B168" s="45">
        <v>45353</v>
      </c>
      <c r="C168" s="1" t="s">
        <v>338</v>
      </c>
      <c r="D168" s="41" t="s">
        <v>1373</v>
      </c>
      <c r="E168" s="1">
        <v>2024</v>
      </c>
      <c r="F168" s="1" t="s">
        <v>53</v>
      </c>
      <c r="G168" s="60" t="s">
        <v>23</v>
      </c>
      <c r="H168" s="2" t="s">
        <v>50</v>
      </c>
      <c r="I168" s="2" t="s">
        <v>47</v>
      </c>
      <c r="J168" s="2" t="s">
        <v>340</v>
      </c>
      <c r="K168" s="1">
        <v>8</v>
      </c>
      <c r="L168" s="37">
        <v>85.15</v>
      </c>
      <c r="M168" s="3">
        <v>0</v>
      </c>
      <c r="N168" s="37">
        <v>681.2</v>
      </c>
      <c r="O168" s="37">
        <v>0</v>
      </c>
      <c r="P168" s="53">
        <v>681.2</v>
      </c>
      <c r="Q168" s="37">
        <v>423.92</v>
      </c>
      <c r="R168" s="37">
        <v>257.27999999999997</v>
      </c>
      <c r="S168" s="3">
        <v>37.799999999999997</v>
      </c>
      <c r="T168" s="1" t="s">
        <v>27</v>
      </c>
      <c r="U168" s="15">
        <v>4</v>
      </c>
    </row>
    <row r="169" spans="1:21" x14ac:dyDescent="0.3">
      <c r="A169" s="14" t="s">
        <v>341</v>
      </c>
      <c r="B169" s="46">
        <v>45353</v>
      </c>
      <c r="C169" s="4" t="s">
        <v>338</v>
      </c>
      <c r="D169" s="42" t="s">
        <v>1373</v>
      </c>
      <c r="E169" s="4">
        <v>2024</v>
      </c>
      <c r="F169" s="4" t="s">
        <v>35</v>
      </c>
      <c r="G169" s="61" t="s">
        <v>54</v>
      </c>
      <c r="H169" s="5" t="s">
        <v>50</v>
      </c>
      <c r="I169" s="5" t="s">
        <v>31</v>
      </c>
      <c r="J169" s="5" t="s">
        <v>342</v>
      </c>
      <c r="K169" s="4">
        <v>5</v>
      </c>
      <c r="L169" s="38">
        <v>28.7</v>
      </c>
      <c r="M169" s="6">
        <v>20</v>
      </c>
      <c r="N169" s="38">
        <v>143.5</v>
      </c>
      <c r="O169" s="38">
        <v>28.7</v>
      </c>
      <c r="P169" s="54">
        <v>114.8</v>
      </c>
      <c r="Q169" s="38">
        <v>52.62</v>
      </c>
      <c r="R169" s="38">
        <v>62.18</v>
      </c>
      <c r="S169" s="6">
        <v>54.2</v>
      </c>
      <c r="T169" s="4" t="s">
        <v>33</v>
      </c>
      <c r="U169" s="16">
        <v>4</v>
      </c>
    </row>
    <row r="170" spans="1:21" x14ac:dyDescent="0.3">
      <c r="A170" s="13" t="s">
        <v>343</v>
      </c>
      <c r="B170" s="45">
        <v>45353</v>
      </c>
      <c r="C170" s="1" t="s">
        <v>338</v>
      </c>
      <c r="D170" s="41" t="s">
        <v>1373</v>
      </c>
      <c r="E170" s="1">
        <v>2024</v>
      </c>
      <c r="F170" s="1" t="s">
        <v>29</v>
      </c>
      <c r="G170" s="60" t="s">
        <v>36</v>
      </c>
      <c r="H170" s="2" t="s">
        <v>59</v>
      </c>
      <c r="I170" s="2" t="s">
        <v>38</v>
      </c>
      <c r="J170" s="2" t="s">
        <v>344</v>
      </c>
      <c r="K170" s="1">
        <v>11</v>
      </c>
      <c r="L170" s="37">
        <v>17.95</v>
      </c>
      <c r="M170" s="3">
        <v>15</v>
      </c>
      <c r="N170" s="37">
        <v>197.45</v>
      </c>
      <c r="O170" s="37">
        <v>29.62</v>
      </c>
      <c r="P170" s="53">
        <v>167.83</v>
      </c>
      <c r="Q170" s="37">
        <v>82.39</v>
      </c>
      <c r="R170" s="37">
        <v>85.44</v>
      </c>
      <c r="S170" s="3">
        <v>50.9</v>
      </c>
      <c r="T170" s="1" t="s">
        <v>44</v>
      </c>
      <c r="U170" s="15">
        <v>5</v>
      </c>
    </row>
    <row r="171" spans="1:21" x14ac:dyDescent="0.3">
      <c r="A171" s="14" t="s">
        <v>345</v>
      </c>
      <c r="B171" s="46">
        <v>45353</v>
      </c>
      <c r="C171" s="4" t="s">
        <v>338</v>
      </c>
      <c r="D171" s="42" t="s">
        <v>1373</v>
      </c>
      <c r="E171" s="4">
        <v>2024</v>
      </c>
      <c r="F171" s="4" t="s">
        <v>41</v>
      </c>
      <c r="G171" s="61" t="s">
        <v>58</v>
      </c>
      <c r="H171" s="5" t="s">
        <v>37</v>
      </c>
      <c r="I171" s="5" t="s">
        <v>31</v>
      </c>
      <c r="J171" s="5" t="s">
        <v>292</v>
      </c>
      <c r="K171" s="4">
        <v>8</v>
      </c>
      <c r="L171" s="38">
        <v>146.97</v>
      </c>
      <c r="M171" s="6">
        <v>10</v>
      </c>
      <c r="N171" s="38">
        <v>1175.76</v>
      </c>
      <c r="O171" s="38">
        <v>117.58</v>
      </c>
      <c r="P171" s="54">
        <v>1058.18</v>
      </c>
      <c r="Q171" s="38">
        <v>514.69000000000005</v>
      </c>
      <c r="R171" s="38">
        <v>543.49</v>
      </c>
      <c r="S171" s="6">
        <v>51.4</v>
      </c>
      <c r="T171" s="4" t="s">
        <v>44</v>
      </c>
      <c r="U171" s="16">
        <v>3</v>
      </c>
    </row>
    <row r="172" spans="1:21" x14ac:dyDescent="0.3">
      <c r="A172" s="13" t="s">
        <v>346</v>
      </c>
      <c r="B172" s="45">
        <v>45353</v>
      </c>
      <c r="C172" s="1" t="s">
        <v>338</v>
      </c>
      <c r="D172" s="41" t="s">
        <v>1373</v>
      </c>
      <c r="E172" s="1">
        <v>2024</v>
      </c>
      <c r="F172" s="1" t="s">
        <v>22</v>
      </c>
      <c r="G172" s="60" t="s">
        <v>46</v>
      </c>
      <c r="H172" s="2" t="s">
        <v>37</v>
      </c>
      <c r="I172" s="2" t="s">
        <v>25</v>
      </c>
      <c r="J172" s="2" t="s">
        <v>67</v>
      </c>
      <c r="K172" s="1">
        <v>13</v>
      </c>
      <c r="L172" s="37">
        <v>149.62</v>
      </c>
      <c r="M172" s="3">
        <v>0</v>
      </c>
      <c r="N172" s="37">
        <v>1945.06</v>
      </c>
      <c r="O172" s="37">
        <v>0</v>
      </c>
      <c r="P172" s="53">
        <v>1945.06</v>
      </c>
      <c r="Q172" s="37">
        <v>707.87</v>
      </c>
      <c r="R172" s="37">
        <v>1237.19</v>
      </c>
      <c r="S172" s="3">
        <v>63.6</v>
      </c>
      <c r="T172" s="1" t="s">
        <v>44</v>
      </c>
      <c r="U172" s="15">
        <v>5</v>
      </c>
    </row>
    <row r="173" spans="1:21" x14ac:dyDescent="0.3">
      <c r="A173" s="14" t="s">
        <v>347</v>
      </c>
      <c r="B173" s="46">
        <v>45354</v>
      </c>
      <c r="C173" s="4" t="s">
        <v>338</v>
      </c>
      <c r="D173" s="42" t="s">
        <v>1373</v>
      </c>
      <c r="E173" s="4">
        <v>2024</v>
      </c>
      <c r="F173" s="4" t="s">
        <v>41</v>
      </c>
      <c r="G173" s="61" t="s">
        <v>54</v>
      </c>
      <c r="H173" s="5" t="s">
        <v>37</v>
      </c>
      <c r="I173" s="5" t="s">
        <v>75</v>
      </c>
      <c r="J173" s="5" t="s">
        <v>284</v>
      </c>
      <c r="K173" s="4">
        <v>16</v>
      </c>
      <c r="L173" s="38">
        <v>328.94</v>
      </c>
      <c r="M173" s="6">
        <v>0</v>
      </c>
      <c r="N173" s="38">
        <v>5263.04</v>
      </c>
      <c r="O173" s="38">
        <v>0</v>
      </c>
      <c r="P173" s="54">
        <v>5263.04</v>
      </c>
      <c r="Q173" s="38">
        <v>3390.33</v>
      </c>
      <c r="R173" s="38">
        <v>1872.71</v>
      </c>
      <c r="S173" s="6">
        <v>35.6</v>
      </c>
      <c r="T173" s="4" t="s">
        <v>27</v>
      </c>
      <c r="U173" s="16">
        <v>5</v>
      </c>
    </row>
    <row r="174" spans="1:21" x14ac:dyDescent="0.3">
      <c r="A174" s="13" t="s">
        <v>348</v>
      </c>
      <c r="B174" s="45">
        <v>45355</v>
      </c>
      <c r="C174" s="1" t="s">
        <v>338</v>
      </c>
      <c r="D174" s="41" t="s">
        <v>1373</v>
      </c>
      <c r="E174" s="1">
        <v>2024</v>
      </c>
      <c r="F174" s="1" t="s">
        <v>53</v>
      </c>
      <c r="G174" s="60" t="s">
        <v>23</v>
      </c>
      <c r="H174" s="2" t="s">
        <v>24</v>
      </c>
      <c r="I174" s="2" t="s">
        <v>31</v>
      </c>
      <c r="J174" s="2" t="s">
        <v>349</v>
      </c>
      <c r="K174" s="1">
        <v>5</v>
      </c>
      <c r="L174" s="37">
        <v>194</v>
      </c>
      <c r="M174" s="3">
        <v>0</v>
      </c>
      <c r="N174" s="37">
        <v>970</v>
      </c>
      <c r="O174" s="37">
        <v>0</v>
      </c>
      <c r="P174" s="53">
        <v>970</v>
      </c>
      <c r="Q174" s="37">
        <v>433.8</v>
      </c>
      <c r="R174" s="37">
        <v>536.20000000000005</v>
      </c>
      <c r="S174" s="3">
        <v>55.3</v>
      </c>
      <c r="T174" s="1" t="s">
        <v>27</v>
      </c>
      <c r="U174" s="15">
        <v>3</v>
      </c>
    </row>
    <row r="175" spans="1:21" x14ac:dyDescent="0.3">
      <c r="A175" s="14" t="s">
        <v>350</v>
      </c>
      <c r="B175" s="46">
        <v>45355</v>
      </c>
      <c r="C175" s="4" t="s">
        <v>338</v>
      </c>
      <c r="D175" s="42" t="s">
        <v>1373</v>
      </c>
      <c r="E175" s="4">
        <v>2024</v>
      </c>
      <c r="F175" s="4" t="s">
        <v>35</v>
      </c>
      <c r="G175" s="61" t="s">
        <v>122</v>
      </c>
      <c r="H175" s="5" t="s">
        <v>24</v>
      </c>
      <c r="I175" s="5" t="s">
        <v>75</v>
      </c>
      <c r="J175" s="5" t="s">
        <v>236</v>
      </c>
      <c r="K175" s="4">
        <v>19</v>
      </c>
      <c r="L175" s="38">
        <v>394.97</v>
      </c>
      <c r="M175" s="6">
        <v>5</v>
      </c>
      <c r="N175" s="38">
        <v>7504.43</v>
      </c>
      <c r="O175" s="38">
        <v>375.22</v>
      </c>
      <c r="P175" s="54">
        <v>7129.21</v>
      </c>
      <c r="Q175" s="38">
        <v>4000.35</v>
      </c>
      <c r="R175" s="38">
        <v>3128.86</v>
      </c>
      <c r="S175" s="6">
        <v>43.9</v>
      </c>
      <c r="T175" s="4" t="s">
        <v>44</v>
      </c>
      <c r="U175" s="16">
        <v>2</v>
      </c>
    </row>
    <row r="176" spans="1:21" x14ac:dyDescent="0.3">
      <c r="A176" s="13" t="s">
        <v>351</v>
      </c>
      <c r="B176" s="45">
        <v>45356</v>
      </c>
      <c r="C176" s="1" t="s">
        <v>338</v>
      </c>
      <c r="D176" s="41" t="s">
        <v>1373</v>
      </c>
      <c r="E176" s="1">
        <v>2024</v>
      </c>
      <c r="F176" s="1" t="s">
        <v>35</v>
      </c>
      <c r="G176" s="60" t="s">
        <v>54</v>
      </c>
      <c r="H176" s="2" t="s">
        <v>50</v>
      </c>
      <c r="I176" s="2" t="s">
        <v>55</v>
      </c>
      <c r="J176" s="2" t="s">
        <v>115</v>
      </c>
      <c r="K176" s="1">
        <v>9</v>
      </c>
      <c r="L176" s="37">
        <v>818.02</v>
      </c>
      <c r="M176" s="3">
        <v>0</v>
      </c>
      <c r="N176" s="37">
        <v>7362.18</v>
      </c>
      <c r="O176" s="37">
        <v>0</v>
      </c>
      <c r="P176" s="53">
        <v>7362.18</v>
      </c>
      <c r="Q176" s="37">
        <v>3728.3</v>
      </c>
      <c r="R176" s="37">
        <v>3633.88</v>
      </c>
      <c r="S176" s="3">
        <v>49.4</v>
      </c>
      <c r="T176" s="1" t="s">
        <v>44</v>
      </c>
      <c r="U176" s="15">
        <v>4</v>
      </c>
    </row>
    <row r="177" spans="1:21" x14ac:dyDescent="0.3">
      <c r="A177" s="14" t="s">
        <v>352</v>
      </c>
      <c r="B177" s="46">
        <v>45356</v>
      </c>
      <c r="C177" s="4" t="s">
        <v>338</v>
      </c>
      <c r="D177" s="42" t="s">
        <v>1373</v>
      </c>
      <c r="E177" s="4">
        <v>2024</v>
      </c>
      <c r="F177" s="4" t="s">
        <v>22</v>
      </c>
      <c r="G177" s="61" t="s">
        <v>46</v>
      </c>
      <c r="H177" s="5" t="s">
        <v>50</v>
      </c>
      <c r="I177" s="5" t="s">
        <v>47</v>
      </c>
      <c r="J177" s="5" t="s">
        <v>353</v>
      </c>
      <c r="K177" s="4">
        <v>14</v>
      </c>
      <c r="L177" s="38">
        <v>360.58</v>
      </c>
      <c r="M177" s="6">
        <v>15</v>
      </c>
      <c r="N177" s="38">
        <v>5048.12</v>
      </c>
      <c r="O177" s="38">
        <v>757.22</v>
      </c>
      <c r="P177" s="54">
        <v>4290.8999999999996</v>
      </c>
      <c r="Q177" s="38">
        <v>2569.79</v>
      </c>
      <c r="R177" s="38">
        <v>1721.11</v>
      </c>
      <c r="S177" s="6">
        <v>40.1</v>
      </c>
      <c r="T177" s="4" t="s">
        <v>33</v>
      </c>
      <c r="U177" s="16">
        <v>2</v>
      </c>
    </row>
    <row r="178" spans="1:21" x14ac:dyDescent="0.3">
      <c r="A178" s="13" t="s">
        <v>354</v>
      </c>
      <c r="B178" s="45">
        <v>45356</v>
      </c>
      <c r="C178" s="1" t="s">
        <v>338</v>
      </c>
      <c r="D178" s="41" t="s">
        <v>1373</v>
      </c>
      <c r="E178" s="1">
        <v>2024</v>
      </c>
      <c r="F178" s="1" t="s">
        <v>41</v>
      </c>
      <c r="G178" s="60" t="s">
        <v>36</v>
      </c>
      <c r="H178" s="2" t="s">
        <v>37</v>
      </c>
      <c r="I178" s="2" t="s">
        <v>38</v>
      </c>
      <c r="J178" s="2" t="s">
        <v>355</v>
      </c>
      <c r="K178" s="1">
        <v>13</v>
      </c>
      <c r="L178" s="37">
        <v>46.25</v>
      </c>
      <c r="M178" s="3">
        <v>0</v>
      </c>
      <c r="N178" s="37">
        <v>601.25</v>
      </c>
      <c r="O178" s="37">
        <v>0</v>
      </c>
      <c r="P178" s="53">
        <v>601.25</v>
      </c>
      <c r="Q178" s="37">
        <v>361.03</v>
      </c>
      <c r="R178" s="37">
        <v>240.22</v>
      </c>
      <c r="S178" s="3">
        <v>40</v>
      </c>
      <c r="T178" s="1" t="s">
        <v>33</v>
      </c>
      <c r="U178" s="15">
        <v>3</v>
      </c>
    </row>
    <row r="179" spans="1:21" x14ac:dyDescent="0.3">
      <c r="A179" s="14" t="s">
        <v>356</v>
      </c>
      <c r="B179" s="46">
        <v>45356</v>
      </c>
      <c r="C179" s="4" t="s">
        <v>338</v>
      </c>
      <c r="D179" s="42" t="s">
        <v>1373</v>
      </c>
      <c r="E179" s="4">
        <v>2024</v>
      </c>
      <c r="F179" s="4" t="s">
        <v>22</v>
      </c>
      <c r="G179" s="61" t="s">
        <v>122</v>
      </c>
      <c r="H179" s="5" t="s">
        <v>50</v>
      </c>
      <c r="I179" s="5" t="s">
        <v>75</v>
      </c>
      <c r="J179" s="5" t="s">
        <v>357</v>
      </c>
      <c r="K179" s="4">
        <v>15</v>
      </c>
      <c r="L179" s="38">
        <v>133.88999999999999</v>
      </c>
      <c r="M179" s="6">
        <v>15</v>
      </c>
      <c r="N179" s="38">
        <v>2008.35</v>
      </c>
      <c r="O179" s="38">
        <v>301.25</v>
      </c>
      <c r="P179" s="54">
        <v>1707.1</v>
      </c>
      <c r="Q179" s="38">
        <v>732.34</v>
      </c>
      <c r="R179" s="38">
        <v>974.76</v>
      </c>
      <c r="S179" s="6">
        <v>57.1</v>
      </c>
      <c r="T179" s="4" t="s">
        <v>27</v>
      </c>
      <c r="U179" s="16">
        <v>1</v>
      </c>
    </row>
    <row r="180" spans="1:21" x14ac:dyDescent="0.3">
      <c r="A180" s="13" t="s">
        <v>358</v>
      </c>
      <c r="B180" s="45">
        <v>45357</v>
      </c>
      <c r="C180" s="1" t="s">
        <v>338</v>
      </c>
      <c r="D180" s="41" t="s">
        <v>1373</v>
      </c>
      <c r="E180" s="1">
        <v>2024</v>
      </c>
      <c r="F180" s="1" t="s">
        <v>53</v>
      </c>
      <c r="G180" s="60" t="s">
        <v>91</v>
      </c>
      <c r="H180" s="2" t="s">
        <v>37</v>
      </c>
      <c r="I180" s="2" t="s">
        <v>38</v>
      </c>
      <c r="J180" s="2" t="s">
        <v>359</v>
      </c>
      <c r="K180" s="1">
        <v>3</v>
      </c>
      <c r="L180" s="37">
        <v>27.5</v>
      </c>
      <c r="M180" s="3">
        <v>20</v>
      </c>
      <c r="N180" s="37">
        <v>82.5</v>
      </c>
      <c r="O180" s="37">
        <v>16.5</v>
      </c>
      <c r="P180" s="53">
        <v>66</v>
      </c>
      <c r="Q180" s="37">
        <v>33.880000000000003</v>
      </c>
      <c r="R180" s="37">
        <v>32.119999999999997</v>
      </c>
      <c r="S180" s="3">
        <v>48.7</v>
      </c>
      <c r="T180" s="1" t="s">
        <v>33</v>
      </c>
      <c r="U180" s="15">
        <v>5</v>
      </c>
    </row>
    <row r="181" spans="1:21" x14ac:dyDescent="0.3">
      <c r="A181" s="14" t="s">
        <v>360</v>
      </c>
      <c r="B181" s="46">
        <v>45357</v>
      </c>
      <c r="C181" s="4" t="s">
        <v>338</v>
      </c>
      <c r="D181" s="42" t="s">
        <v>1373</v>
      </c>
      <c r="E181" s="4">
        <v>2024</v>
      </c>
      <c r="F181" s="4" t="s">
        <v>41</v>
      </c>
      <c r="G181" s="61" t="s">
        <v>36</v>
      </c>
      <c r="H181" s="5" t="s">
        <v>37</v>
      </c>
      <c r="I181" s="5" t="s">
        <v>75</v>
      </c>
      <c r="J181" s="5" t="s">
        <v>361</v>
      </c>
      <c r="K181" s="4">
        <v>3</v>
      </c>
      <c r="L181" s="38">
        <v>84.06</v>
      </c>
      <c r="M181" s="6">
        <v>10</v>
      </c>
      <c r="N181" s="38">
        <v>252.18</v>
      </c>
      <c r="O181" s="38">
        <v>25.22</v>
      </c>
      <c r="P181" s="54">
        <v>226.96</v>
      </c>
      <c r="Q181" s="38">
        <v>91.27</v>
      </c>
      <c r="R181" s="38">
        <v>135.69</v>
      </c>
      <c r="S181" s="6">
        <v>59.8</v>
      </c>
      <c r="T181" s="4" t="s">
        <v>44</v>
      </c>
      <c r="U181" s="16">
        <v>4</v>
      </c>
    </row>
    <row r="182" spans="1:21" x14ac:dyDescent="0.3">
      <c r="A182" s="13" t="s">
        <v>362</v>
      </c>
      <c r="B182" s="45">
        <v>45357</v>
      </c>
      <c r="C182" s="1" t="s">
        <v>338</v>
      </c>
      <c r="D182" s="41" t="s">
        <v>1373</v>
      </c>
      <c r="E182" s="1">
        <v>2024</v>
      </c>
      <c r="F182" s="1" t="s">
        <v>41</v>
      </c>
      <c r="G182" s="60" t="s">
        <v>122</v>
      </c>
      <c r="H182" s="2" t="s">
        <v>24</v>
      </c>
      <c r="I182" s="2" t="s">
        <v>75</v>
      </c>
      <c r="J182" s="2" t="s">
        <v>142</v>
      </c>
      <c r="K182" s="1">
        <v>13</v>
      </c>
      <c r="L182" s="37">
        <v>291.08999999999997</v>
      </c>
      <c r="M182" s="3">
        <v>20</v>
      </c>
      <c r="N182" s="37">
        <v>3784.17</v>
      </c>
      <c r="O182" s="37">
        <v>756.83</v>
      </c>
      <c r="P182" s="53">
        <v>3027.34</v>
      </c>
      <c r="Q182" s="37">
        <v>1653.24</v>
      </c>
      <c r="R182" s="37">
        <v>1374.1</v>
      </c>
      <c r="S182" s="3">
        <v>45.4</v>
      </c>
      <c r="T182" s="1" t="s">
        <v>44</v>
      </c>
      <c r="U182" s="15">
        <v>2</v>
      </c>
    </row>
    <row r="183" spans="1:21" x14ac:dyDescent="0.3">
      <c r="A183" s="14" t="s">
        <v>363</v>
      </c>
      <c r="B183" s="46">
        <v>45357</v>
      </c>
      <c r="C183" s="4" t="s">
        <v>338</v>
      </c>
      <c r="D183" s="42" t="s">
        <v>1373</v>
      </c>
      <c r="E183" s="4">
        <v>2024</v>
      </c>
      <c r="F183" s="4" t="s">
        <v>53</v>
      </c>
      <c r="G183" s="61" t="s">
        <v>54</v>
      </c>
      <c r="H183" s="5" t="s">
        <v>37</v>
      </c>
      <c r="I183" s="5" t="s">
        <v>38</v>
      </c>
      <c r="J183" s="5" t="s">
        <v>364</v>
      </c>
      <c r="K183" s="4">
        <v>17</v>
      </c>
      <c r="L183" s="38">
        <v>57.52</v>
      </c>
      <c r="M183" s="6">
        <v>0</v>
      </c>
      <c r="N183" s="38">
        <v>977.84</v>
      </c>
      <c r="O183" s="38">
        <v>0</v>
      </c>
      <c r="P183" s="54">
        <v>977.84</v>
      </c>
      <c r="Q183" s="38">
        <v>449.4</v>
      </c>
      <c r="R183" s="38">
        <v>528.44000000000005</v>
      </c>
      <c r="S183" s="6">
        <v>54</v>
      </c>
      <c r="T183" s="4" t="s">
        <v>44</v>
      </c>
      <c r="U183" s="16">
        <v>2</v>
      </c>
    </row>
    <row r="184" spans="1:21" x14ac:dyDescent="0.3">
      <c r="A184" s="13" t="s">
        <v>365</v>
      </c>
      <c r="B184" s="45">
        <v>45358</v>
      </c>
      <c r="C184" s="1" t="s">
        <v>338</v>
      </c>
      <c r="D184" s="41" t="s">
        <v>1373</v>
      </c>
      <c r="E184" s="1">
        <v>2024</v>
      </c>
      <c r="F184" s="1" t="s">
        <v>35</v>
      </c>
      <c r="G184" s="60" t="s">
        <v>66</v>
      </c>
      <c r="H184" s="2" t="s">
        <v>50</v>
      </c>
      <c r="I184" s="2" t="s">
        <v>38</v>
      </c>
      <c r="J184" s="2" t="s">
        <v>366</v>
      </c>
      <c r="K184" s="1">
        <v>9</v>
      </c>
      <c r="L184" s="37">
        <v>18.059999999999999</v>
      </c>
      <c r="M184" s="3">
        <v>15</v>
      </c>
      <c r="N184" s="37">
        <v>162.54</v>
      </c>
      <c r="O184" s="37">
        <v>24.38</v>
      </c>
      <c r="P184" s="53">
        <v>138.16</v>
      </c>
      <c r="Q184" s="37">
        <v>75.44</v>
      </c>
      <c r="R184" s="37">
        <v>62.72</v>
      </c>
      <c r="S184" s="3">
        <v>45.4</v>
      </c>
      <c r="T184" s="1" t="s">
        <v>44</v>
      </c>
      <c r="U184" s="15">
        <v>4</v>
      </c>
    </row>
    <row r="185" spans="1:21" x14ac:dyDescent="0.3">
      <c r="A185" s="14" t="s">
        <v>367</v>
      </c>
      <c r="B185" s="46">
        <v>45359</v>
      </c>
      <c r="C185" s="4" t="s">
        <v>338</v>
      </c>
      <c r="D185" s="42" t="s">
        <v>1373</v>
      </c>
      <c r="E185" s="4">
        <v>2024</v>
      </c>
      <c r="F185" s="4" t="s">
        <v>35</v>
      </c>
      <c r="G185" s="61" t="s">
        <v>58</v>
      </c>
      <c r="H185" s="5" t="s">
        <v>37</v>
      </c>
      <c r="I185" s="5" t="s">
        <v>31</v>
      </c>
      <c r="J185" s="5" t="s">
        <v>368</v>
      </c>
      <c r="K185" s="4">
        <v>12</v>
      </c>
      <c r="L185" s="38">
        <v>81.88</v>
      </c>
      <c r="M185" s="6">
        <v>0</v>
      </c>
      <c r="N185" s="38">
        <v>982.56</v>
      </c>
      <c r="O185" s="38">
        <v>0</v>
      </c>
      <c r="P185" s="54">
        <v>982.56</v>
      </c>
      <c r="Q185" s="38">
        <v>590.16999999999996</v>
      </c>
      <c r="R185" s="38">
        <v>392.39</v>
      </c>
      <c r="S185" s="6">
        <v>39.9</v>
      </c>
      <c r="T185" s="4" t="s">
        <v>44</v>
      </c>
      <c r="U185" s="16">
        <v>5</v>
      </c>
    </row>
    <row r="186" spans="1:21" x14ac:dyDescent="0.3">
      <c r="A186" s="13" t="s">
        <v>369</v>
      </c>
      <c r="B186" s="45">
        <v>45359</v>
      </c>
      <c r="C186" s="1" t="s">
        <v>338</v>
      </c>
      <c r="D186" s="41" t="s">
        <v>1373</v>
      </c>
      <c r="E186" s="1">
        <v>2024</v>
      </c>
      <c r="F186" s="1" t="s">
        <v>29</v>
      </c>
      <c r="G186" s="60" t="s">
        <v>66</v>
      </c>
      <c r="H186" s="2" t="s">
        <v>50</v>
      </c>
      <c r="I186" s="2" t="s">
        <v>75</v>
      </c>
      <c r="J186" s="2" t="s">
        <v>370</v>
      </c>
      <c r="K186" s="1">
        <v>15</v>
      </c>
      <c r="L186" s="37">
        <v>109.09</v>
      </c>
      <c r="M186" s="3">
        <v>15</v>
      </c>
      <c r="N186" s="37">
        <v>1636.35</v>
      </c>
      <c r="O186" s="37">
        <v>245.45</v>
      </c>
      <c r="P186" s="53">
        <v>1390.9</v>
      </c>
      <c r="Q186" s="37">
        <v>702.4</v>
      </c>
      <c r="R186" s="37">
        <v>688.5</v>
      </c>
      <c r="S186" s="3">
        <v>49.5</v>
      </c>
      <c r="T186" s="1" t="s">
        <v>44</v>
      </c>
      <c r="U186" s="15">
        <v>1</v>
      </c>
    </row>
    <row r="187" spans="1:21" x14ac:dyDescent="0.3">
      <c r="A187" s="14" t="s">
        <v>371</v>
      </c>
      <c r="B187" s="46">
        <v>45359</v>
      </c>
      <c r="C187" s="4" t="s">
        <v>338</v>
      </c>
      <c r="D187" s="42" t="s">
        <v>1373</v>
      </c>
      <c r="E187" s="4">
        <v>2024</v>
      </c>
      <c r="F187" s="4" t="s">
        <v>35</v>
      </c>
      <c r="G187" s="61" t="s">
        <v>91</v>
      </c>
      <c r="H187" s="5" t="s">
        <v>37</v>
      </c>
      <c r="I187" s="5" t="s">
        <v>55</v>
      </c>
      <c r="J187" s="5" t="s">
        <v>372</v>
      </c>
      <c r="K187" s="4">
        <v>16</v>
      </c>
      <c r="L187" s="38">
        <v>1182.9000000000001</v>
      </c>
      <c r="M187" s="6">
        <v>0</v>
      </c>
      <c r="N187" s="38">
        <v>18926.400000000001</v>
      </c>
      <c r="O187" s="38">
        <v>0</v>
      </c>
      <c r="P187" s="54">
        <v>18926.400000000001</v>
      </c>
      <c r="Q187" s="38">
        <v>8761</v>
      </c>
      <c r="R187" s="38">
        <v>10165.4</v>
      </c>
      <c r="S187" s="6">
        <v>53.7</v>
      </c>
      <c r="T187" s="4" t="s">
        <v>44</v>
      </c>
      <c r="U187" s="16">
        <v>2</v>
      </c>
    </row>
    <row r="188" spans="1:21" x14ac:dyDescent="0.3">
      <c r="A188" s="13" t="s">
        <v>373</v>
      </c>
      <c r="B188" s="45">
        <v>45360</v>
      </c>
      <c r="C188" s="1" t="s">
        <v>338</v>
      </c>
      <c r="D188" s="41" t="s">
        <v>1373</v>
      </c>
      <c r="E188" s="1">
        <v>2024</v>
      </c>
      <c r="F188" s="1" t="s">
        <v>22</v>
      </c>
      <c r="G188" s="60" t="s">
        <v>54</v>
      </c>
      <c r="H188" s="2" t="s">
        <v>59</v>
      </c>
      <c r="I188" s="2" t="s">
        <v>31</v>
      </c>
      <c r="J188" s="2" t="s">
        <v>374</v>
      </c>
      <c r="K188" s="1">
        <v>11</v>
      </c>
      <c r="L188" s="37">
        <v>161.53</v>
      </c>
      <c r="M188" s="3">
        <v>0</v>
      </c>
      <c r="N188" s="37">
        <v>1776.83</v>
      </c>
      <c r="O188" s="37">
        <v>0</v>
      </c>
      <c r="P188" s="53">
        <v>1776.83</v>
      </c>
      <c r="Q188" s="37">
        <v>1105.5</v>
      </c>
      <c r="R188" s="37">
        <v>671.33</v>
      </c>
      <c r="S188" s="3">
        <v>37.799999999999997</v>
      </c>
      <c r="T188" s="1" t="s">
        <v>44</v>
      </c>
      <c r="U188" s="15">
        <v>4</v>
      </c>
    </row>
    <row r="189" spans="1:21" x14ac:dyDescent="0.3">
      <c r="A189" s="14" t="s">
        <v>375</v>
      </c>
      <c r="B189" s="46">
        <v>45360</v>
      </c>
      <c r="C189" s="4" t="s">
        <v>338</v>
      </c>
      <c r="D189" s="42" t="s">
        <v>1373</v>
      </c>
      <c r="E189" s="4">
        <v>2024</v>
      </c>
      <c r="F189" s="4" t="s">
        <v>53</v>
      </c>
      <c r="G189" s="61" t="s">
        <v>30</v>
      </c>
      <c r="H189" s="5" t="s">
        <v>24</v>
      </c>
      <c r="I189" s="5" t="s">
        <v>25</v>
      </c>
      <c r="J189" s="5" t="s">
        <v>376</v>
      </c>
      <c r="K189" s="4">
        <v>19</v>
      </c>
      <c r="L189" s="38">
        <v>43.14</v>
      </c>
      <c r="M189" s="6">
        <v>0</v>
      </c>
      <c r="N189" s="38">
        <v>819.66</v>
      </c>
      <c r="O189" s="38">
        <v>0</v>
      </c>
      <c r="P189" s="54">
        <v>819.66</v>
      </c>
      <c r="Q189" s="38">
        <v>413.86</v>
      </c>
      <c r="R189" s="38">
        <v>405.8</v>
      </c>
      <c r="S189" s="6">
        <v>49.5</v>
      </c>
      <c r="T189" s="4" t="s">
        <v>44</v>
      </c>
      <c r="U189" s="16">
        <v>2</v>
      </c>
    </row>
    <row r="190" spans="1:21" x14ac:dyDescent="0.3">
      <c r="A190" s="13" t="s">
        <v>377</v>
      </c>
      <c r="B190" s="45">
        <v>45361</v>
      </c>
      <c r="C190" s="1" t="s">
        <v>338</v>
      </c>
      <c r="D190" s="41" t="s">
        <v>1373</v>
      </c>
      <c r="E190" s="1">
        <v>2024</v>
      </c>
      <c r="F190" s="1" t="s">
        <v>35</v>
      </c>
      <c r="G190" s="60" t="s">
        <v>46</v>
      </c>
      <c r="H190" s="2" t="s">
        <v>24</v>
      </c>
      <c r="I190" s="2" t="s">
        <v>25</v>
      </c>
      <c r="J190" s="2" t="s">
        <v>216</v>
      </c>
      <c r="K190" s="1">
        <v>1</v>
      </c>
      <c r="L190" s="37">
        <v>79.16</v>
      </c>
      <c r="M190" s="3">
        <v>0</v>
      </c>
      <c r="N190" s="37">
        <v>79.16</v>
      </c>
      <c r="O190" s="37">
        <v>0</v>
      </c>
      <c r="P190" s="53">
        <v>79.16</v>
      </c>
      <c r="Q190" s="37">
        <v>36.090000000000003</v>
      </c>
      <c r="R190" s="37">
        <v>43.07</v>
      </c>
      <c r="S190" s="3">
        <v>54.4</v>
      </c>
      <c r="T190" s="1" t="s">
        <v>27</v>
      </c>
      <c r="U190" s="15">
        <v>5</v>
      </c>
    </row>
    <row r="191" spans="1:21" x14ac:dyDescent="0.3">
      <c r="A191" s="14" t="s">
        <v>378</v>
      </c>
      <c r="B191" s="46">
        <v>45362</v>
      </c>
      <c r="C191" s="4" t="s">
        <v>338</v>
      </c>
      <c r="D191" s="42" t="s">
        <v>1373</v>
      </c>
      <c r="E191" s="4">
        <v>2024</v>
      </c>
      <c r="F191" s="4" t="s">
        <v>41</v>
      </c>
      <c r="G191" s="61" t="s">
        <v>46</v>
      </c>
      <c r="H191" s="5" t="s">
        <v>37</v>
      </c>
      <c r="I191" s="5" t="s">
        <v>47</v>
      </c>
      <c r="J191" s="5" t="s">
        <v>379</v>
      </c>
      <c r="K191" s="4">
        <v>3</v>
      </c>
      <c r="L191" s="38">
        <v>193.23</v>
      </c>
      <c r="M191" s="6">
        <v>15</v>
      </c>
      <c r="N191" s="38">
        <v>579.69000000000005</v>
      </c>
      <c r="O191" s="38">
        <v>86.95</v>
      </c>
      <c r="P191" s="54">
        <v>492.74</v>
      </c>
      <c r="Q191" s="38">
        <v>300.73</v>
      </c>
      <c r="R191" s="38">
        <v>192.01</v>
      </c>
      <c r="S191" s="6">
        <v>39</v>
      </c>
      <c r="T191" s="4" t="s">
        <v>44</v>
      </c>
      <c r="U191" s="16">
        <v>5</v>
      </c>
    </row>
    <row r="192" spans="1:21" x14ac:dyDescent="0.3">
      <c r="A192" s="13" t="s">
        <v>380</v>
      </c>
      <c r="B192" s="45">
        <v>45362</v>
      </c>
      <c r="C192" s="1" t="s">
        <v>338</v>
      </c>
      <c r="D192" s="41" t="s">
        <v>1373</v>
      </c>
      <c r="E192" s="1">
        <v>2024</v>
      </c>
      <c r="F192" s="1" t="s">
        <v>53</v>
      </c>
      <c r="G192" s="60" t="s">
        <v>23</v>
      </c>
      <c r="H192" s="2" t="s">
        <v>50</v>
      </c>
      <c r="I192" s="2" t="s">
        <v>55</v>
      </c>
      <c r="J192" s="2" t="s">
        <v>381</v>
      </c>
      <c r="K192" s="1">
        <v>15</v>
      </c>
      <c r="L192" s="37">
        <v>708.12</v>
      </c>
      <c r="M192" s="3">
        <v>20</v>
      </c>
      <c r="N192" s="37">
        <v>10621.8</v>
      </c>
      <c r="O192" s="37">
        <v>2124.36</v>
      </c>
      <c r="P192" s="53">
        <v>8497.44</v>
      </c>
      <c r="Q192" s="37">
        <v>4215.2299999999996</v>
      </c>
      <c r="R192" s="37">
        <v>4282.21</v>
      </c>
      <c r="S192" s="3">
        <v>50.4</v>
      </c>
      <c r="T192" s="1" t="s">
        <v>44</v>
      </c>
      <c r="U192" s="15">
        <v>1</v>
      </c>
    </row>
    <row r="193" spans="1:21" x14ac:dyDescent="0.3">
      <c r="A193" s="14" t="s">
        <v>382</v>
      </c>
      <c r="B193" s="46">
        <v>45363</v>
      </c>
      <c r="C193" s="4" t="s">
        <v>338</v>
      </c>
      <c r="D193" s="42" t="s">
        <v>1373</v>
      </c>
      <c r="E193" s="4">
        <v>2024</v>
      </c>
      <c r="F193" s="4" t="s">
        <v>35</v>
      </c>
      <c r="G193" s="61" t="s">
        <v>54</v>
      </c>
      <c r="H193" s="5" t="s">
        <v>37</v>
      </c>
      <c r="I193" s="5" t="s">
        <v>75</v>
      </c>
      <c r="J193" s="5" t="s">
        <v>383</v>
      </c>
      <c r="K193" s="4">
        <v>12</v>
      </c>
      <c r="L193" s="38">
        <v>200.28</v>
      </c>
      <c r="M193" s="6">
        <v>0</v>
      </c>
      <c r="N193" s="38">
        <v>2403.36</v>
      </c>
      <c r="O193" s="38">
        <v>0</v>
      </c>
      <c r="P193" s="54">
        <v>2403.36</v>
      </c>
      <c r="Q193" s="38">
        <v>1188.78</v>
      </c>
      <c r="R193" s="38">
        <v>1214.58</v>
      </c>
      <c r="S193" s="6">
        <v>50.5</v>
      </c>
      <c r="T193" s="4" t="s">
        <v>27</v>
      </c>
      <c r="U193" s="16">
        <v>4</v>
      </c>
    </row>
    <row r="194" spans="1:21" x14ac:dyDescent="0.3">
      <c r="A194" s="13" t="s">
        <v>384</v>
      </c>
      <c r="B194" s="45">
        <v>45363</v>
      </c>
      <c r="C194" s="1" t="s">
        <v>338</v>
      </c>
      <c r="D194" s="41" t="s">
        <v>1373</v>
      </c>
      <c r="E194" s="1">
        <v>2024</v>
      </c>
      <c r="F194" s="1" t="s">
        <v>22</v>
      </c>
      <c r="G194" s="60" t="s">
        <v>122</v>
      </c>
      <c r="H194" s="2" t="s">
        <v>24</v>
      </c>
      <c r="I194" s="2" t="s">
        <v>55</v>
      </c>
      <c r="J194" s="2" t="s">
        <v>385</v>
      </c>
      <c r="K194" s="1">
        <v>3</v>
      </c>
      <c r="L194" s="37">
        <v>1180.46</v>
      </c>
      <c r="M194" s="3">
        <v>5</v>
      </c>
      <c r="N194" s="37">
        <v>3541.38</v>
      </c>
      <c r="O194" s="37">
        <v>177.07</v>
      </c>
      <c r="P194" s="53">
        <v>3364.31</v>
      </c>
      <c r="Q194" s="37">
        <v>1787.33</v>
      </c>
      <c r="R194" s="37">
        <v>1576.98</v>
      </c>
      <c r="S194" s="3">
        <v>46.9</v>
      </c>
      <c r="T194" s="1" t="s">
        <v>44</v>
      </c>
      <c r="U194" s="15">
        <v>4</v>
      </c>
    </row>
    <row r="195" spans="1:21" x14ac:dyDescent="0.3">
      <c r="A195" s="14" t="s">
        <v>386</v>
      </c>
      <c r="B195" s="46">
        <v>45363</v>
      </c>
      <c r="C195" s="4" t="s">
        <v>338</v>
      </c>
      <c r="D195" s="42" t="s">
        <v>1373</v>
      </c>
      <c r="E195" s="4">
        <v>2024</v>
      </c>
      <c r="F195" s="4" t="s">
        <v>29</v>
      </c>
      <c r="G195" s="61" t="s">
        <v>36</v>
      </c>
      <c r="H195" s="5" t="s">
        <v>50</v>
      </c>
      <c r="I195" s="5" t="s">
        <v>25</v>
      </c>
      <c r="J195" s="5" t="s">
        <v>387</v>
      </c>
      <c r="K195" s="4">
        <v>18</v>
      </c>
      <c r="L195" s="38">
        <v>28.17</v>
      </c>
      <c r="M195" s="6">
        <v>20</v>
      </c>
      <c r="N195" s="38">
        <v>507.06</v>
      </c>
      <c r="O195" s="38">
        <v>101.41</v>
      </c>
      <c r="P195" s="54">
        <v>405.65</v>
      </c>
      <c r="Q195" s="38">
        <v>203.05</v>
      </c>
      <c r="R195" s="38">
        <v>202.6</v>
      </c>
      <c r="S195" s="6">
        <v>49.9</v>
      </c>
      <c r="T195" s="4" t="s">
        <v>44</v>
      </c>
      <c r="U195" s="16">
        <v>3</v>
      </c>
    </row>
    <row r="196" spans="1:21" x14ac:dyDescent="0.3">
      <c r="A196" s="13" t="s">
        <v>388</v>
      </c>
      <c r="B196" s="45">
        <v>45365</v>
      </c>
      <c r="C196" s="1" t="s">
        <v>338</v>
      </c>
      <c r="D196" s="41" t="s">
        <v>1373</v>
      </c>
      <c r="E196" s="1">
        <v>2024</v>
      </c>
      <c r="F196" s="1" t="s">
        <v>29</v>
      </c>
      <c r="G196" s="60" t="s">
        <v>91</v>
      </c>
      <c r="H196" s="2" t="s">
        <v>59</v>
      </c>
      <c r="I196" s="2" t="s">
        <v>75</v>
      </c>
      <c r="J196" s="2" t="s">
        <v>79</v>
      </c>
      <c r="K196" s="1">
        <v>13</v>
      </c>
      <c r="L196" s="37">
        <v>356.59</v>
      </c>
      <c r="M196" s="3">
        <v>0</v>
      </c>
      <c r="N196" s="37">
        <v>4635.67</v>
      </c>
      <c r="O196" s="37">
        <v>0</v>
      </c>
      <c r="P196" s="53">
        <v>4635.67</v>
      </c>
      <c r="Q196" s="37">
        <v>1815.75</v>
      </c>
      <c r="R196" s="37">
        <v>2819.92</v>
      </c>
      <c r="S196" s="3">
        <v>60.8</v>
      </c>
      <c r="T196" s="1" t="s">
        <v>44</v>
      </c>
      <c r="U196" s="15">
        <v>4</v>
      </c>
    </row>
    <row r="197" spans="1:21" x14ac:dyDescent="0.3">
      <c r="A197" s="14" t="s">
        <v>389</v>
      </c>
      <c r="B197" s="46">
        <v>45367</v>
      </c>
      <c r="C197" s="4" t="s">
        <v>338</v>
      </c>
      <c r="D197" s="42" t="s">
        <v>1373</v>
      </c>
      <c r="E197" s="4">
        <v>2024</v>
      </c>
      <c r="F197" s="4" t="s">
        <v>53</v>
      </c>
      <c r="G197" s="61" t="s">
        <v>58</v>
      </c>
      <c r="H197" s="5" t="s">
        <v>59</v>
      </c>
      <c r="I197" s="5" t="s">
        <v>55</v>
      </c>
      <c r="J197" s="5" t="s">
        <v>223</v>
      </c>
      <c r="K197" s="4">
        <v>7</v>
      </c>
      <c r="L197" s="38">
        <v>125.61</v>
      </c>
      <c r="M197" s="6">
        <v>0</v>
      </c>
      <c r="N197" s="38">
        <v>879.27</v>
      </c>
      <c r="O197" s="38">
        <v>0</v>
      </c>
      <c r="P197" s="54">
        <v>879.27</v>
      </c>
      <c r="Q197" s="38">
        <v>351.43</v>
      </c>
      <c r="R197" s="38">
        <v>527.84</v>
      </c>
      <c r="S197" s="6">
        <v>60</v>
      </c>
      <c r="T197" s="4" t="s">
        <v>33</v>
      </c>
      <c r="U197" s="16">
        <v>4</v>
      </c>
    </row>
    <row r="198" spans="1:21" x14ac:dyDescent="0.3">
      <c r="A198" s="13" t="s">
        <v>390</v>
      </c>
      <c r="B198" s="45">
        <v>45367</v>
      </c>
      <c r="C198" s="1" t="s">
        <v>338</v>
      </c>
      <c r="D198" s="41" t="s">
        <v>1373</v>
      </c>
      <c r="E198" s="1">
        <v>2024</v>
      </c>
      <c r="F198" s="1" t="s">
        <v>22</v>
      </c>
      <c r="G198" s="60" t="s">
        <v>54</v>
      </c>
      <c r="H198" s="2" t="s">
        <v>50</v>
      </c>
      <c r="I198" s="2" t="s">
        <v>38</v>
      </c>
      <c r="J198" s="2" t="s">
        <v>391</v>
      </c>
      <c r="K198" s="1">
        <v>14</v>
      </c>
      <c r="L198" s="37">
        <v>34.86</v>
      </c>
      <c r="M198" s="3">
        <v>0</v>
      </c>
      <c r="N198" s="37">
        <v>488.04</v>
      </c>
      <c r="O198" s="37">
        <v>0</v>
      </c>
      <c r="P198" s="53">
        <v>488.04</v>
      </c>
      <c r="Q198" s="37">
        <v>182.1</v>
      </c>
      <c r="R198" s="37">
        <v>305.94</v>
      </c>
      <c r="S198" s="3">
        <v>62.7</v>
      </c>
      <c r="T198" s="1" t="s">
        <v>27</v>
      </c>
      <c r="U198" s="15">
        <v>2</v>
      </c>
    </row>
    <row r="199" spans="1:21" x14ac:dyDescent="0.3">
      <c r="A199" s="14" t="s">
        <v>392</v>
      </c>
      <c r="B199" s="46">
        <v>45367</v>
      </c>
      <c r="C199" s="4" t="s">
        <v>338</v>
      </c>
      <c r="D199" s="42" t="s">
        <v>1373</v>
      </c>
      <c r="E199" s="4">
        <v>2024</v>
      </c>
      <c r="F199" s="4" t="s">
        <v>22</v>
      </c>
      <c r="G199" s="61" t="s">
        <v>58</v>
      </c>
      <c r="H199" s="5" t="s">
        <v>37</v>
      </c>
      <c r="I199" s="5" t="s">
        <v>31</v>
      </c>
      <c r="J199" s="5" t="s">
        <v>135</v>
      </c>
      <c r="K199" s="4">
        <v>7</v>
      </c>
      <c r="L199" s="38">
        <v>147.63</v>
      </c>
      <c r="M199" s="6">
        <v>10</v>
      </c>
      <c r="N199" s="38">
        <v>1033.4100000000001</v>
      </c>
      <c r="O199" s="38">
        <v>103.34</v>
      </c>
      <c r="P199" s="54">
        <v>930.07</v>
      </c>
      <c r="Q199" s="38">
        <v>505.07</v>
      </c>
      <c r="R199" s="38">
        <v>425</v>
      </c>
      <c r="S199" s="6">
        <v>45.7</v>
      </c>
      <c r="T199" s="4" t="s">
        <v>44</v>
      </c>
      <c r="U199" s="16">
        <v>1</v>
      </c>
    </row>
    <row r="200" spans="1:21" x14ac:dyDescent="0.3">
      <c r="A200" s="13" t="s">
        <v>393</v>
      </c>
      <c r="B200" s="45">
        <v>45368</v>
      </c>
      <c r="C200" s="1" t="s">
        <v>338</v>
      </c>
      <c r="D200" s="41" t="s">
        <v>1373</v>
      </c>
      <c r="E200" s="1">
        <v>2024</v>
      </c>
      <c r="F200" s="1" t="s">
        <v>22</v>
      </c>
      <c r="G200" s="60" t="s">
        <v>54</v>
      </c>
      <c r="H200" s="2" t="s">
        <v>24</v>
      </c>
      <c r="I200" s="2" t="s">
        <v>75</v>
      </c>
      <c r="J200" s="2" t="s">
        <v>394</v>
      </c>
      <c r="K200" s="1">
        <v>16</v>
      </c>
      <c r="L200" s="37">
        <v>204.5</v>
      </c>
      <c r="M200" s="3">
        <v>0</v>
      </c>
      <c r="N200" s="37">
        <v>3272</v>
      </c>
      <c r="O200" s="37">
        <v>0</v>
      </c>
      <c r="P200" s="53">
        <v>3272</v>
      </c>
      <c r="Q200" s="37">
        <v>1352.83</v>
      </c>
      <c r="R200" s="37">
        <v>1919.17</v>
      </c>
      <c r="S200" s="3">
        <v>58.7</v>
      </c>
      <c r="T200" s="1" t="s">
        <v>44</v>
      </c>
      <c r="U200" s="15">
        <v>3</v>
      </c>
    </row>
    <row r="201" spans="1:21" x14ac:dyDescent="0.3">
      <c r="A201" s="14" t="s">
        <v>395</v>
      </c>
      <c r="B201" s="46">
        <v>45368</v>
      </c>
      <c r="C201" s="4" t="s">
        <v>338</v>
      </c>
      <c r="D201" s="42" t="s">
        <v>1373</v>
      </c>
      <c r="E201" s="4">
        <v>2024</v>
      </c>
      <c r="F201" s="4" t="s">
        <v>35</v>
      </c>
      <c r="G201" s="61" t="s">
        <v>58</v>
      </c>
      <c r="H201" s="5" t="s">
        <v>50</v>
      </c>
      <c r="I201" s="5" t="s">
        <v>38</v>
      </c>
      <c r="J201" s="5" t="s">
        <v>396</v>
      </c>
      <c r="K201" s="4">
        <v>9</v>
      </c>
      <c r="L201" s="38">
        <v>35.81</v>
      </c>
      <c r="M201" s="6">
        <v>5</v>
      </c>
      <c r="N201" s="38">
        <v>322.29000000000002</v>
      </c>
      <c r="O201" s="38">
        <v>16.11</v>
      </c>
      <c r="P201" s="54">
        <v>306.18</v>
      </c>
      <c r="Q201" s="38">
        <v>124.33</v>
      </c>
      <c r="R201" s="38">
        <v>181.85</v>
      </c>
      <c r="S201" s="6">
        <v>59.4</v>
      </c>
      <c r="T201" s="4" t="s">
        <v>44</v>
      </c>
      <c r="U201" s="16">
        <v>4</v>
      </c>
    </row>
    <row r="202" spans="1:21" x14ac:dyDescent="0.3">
      <c r="A202" s="13" t="s">
        <v>397</v>
      </c>
      <c r="B202" s="45">
        <v>45369</v>
      </c>
      <c r="C202" s="1" t="s">
        <v>338</v>
      </c>
      <c r="D202" s="41" t="s">
        <v>1373</v>
      </c>
      <c r="E202" s="1">
        <v>2024</v>
      </c>
      <c r="F202" s="1" t="s">
        <v>29</v>
      </c>
      <c r="G202" s="60" t="s">
        <v>42</v>
      </c>
      <c r="H202" s="2" t="s">
        <v>37</v>
      </c>
      <c r="I202" s="2" t="s">
        <v>31</v>
      </c>
      <c r="J202" s="2" t="s">
        <v>170</v>
      </c>
      <c r="K202" s="1">
        <v>11</v>
      </c>
      <c r="L202" s="37">
        <v>90.75</v>
      </c>
      <c r="M202" s="3">
        <v>20</v>
      </c>
      <c r="N202" s="37">
        <v>998.25</v>
      </c>
      <c r="O202" s="37">
        <v>199.65</v>
      </c>
      <c r="P202" s="53">
        <v>798.6</v>
      </c>
      <c r="Q202" s="37">
        <v>366.29</v>
      </c>
      <c r="R202" s="37">
        <v>432.31</v>
      </c>
      <c r="S202" s="3">
        <v>54.1</v>
      </c>
      <c r="T202" s="1" t="s">
        <v>27</v>
      </c>
      <c r="U202" s="15">
        <v>2</v>
      </c>
    </row>
    <row r="203" spans="1:21" x14ac:dyDescent="0.3">
      <c r="A203" s="14" t="s">
        <v>398</v>
      </c>
      <c r="B203" s="46">
        <v>45369</v>
      </c>
      <c r="C203" s="4" t="s">
        <v>338</v>
      </c>
      <c r="D203" s="42" t="s">
        <v>1373</v>
      </c>
      <c r="E203" s="4">
        <v>2024</v>
      </c>
      <c r="F203" s="4" t="s">
        <v>22</v>
      </c>
      <c r="G203" s="61" t="s">
        <v>36</v>
      </c>
      <c r="H203" s="5" t="s">
        <v>50</v>
      </c>
      <c r="I203" s="5" t="s">
        <v>55</v>
      </c>
      <c r="J203" s="5" t="s">
        <v>399</v>
      </c>
      <c r="K203" s="4">
        <v>10</v>
      </c>
      <c r="L203" s="38">
        <v>711.14</v>
      </c>
      <c r="M203" s="6">
        <v>0</v>
      </c>
      <c r="N203" s="38">
        <v>7111.4</v>
      </c>
      <c r="O203" s="38">
        <v>0</v>
      </c>
      <c r="P203" s="54">
        <v>7111.4</v>
      </c>
      <c r="Q203" s="38">
        <v>4019.3</v>
      </c>
      <c r="R203" s="38">
        <v>3092.1</v>
      </c>
      <c r="S203" s="6">
        <v>43.5</v>
      </c>
      <c r="T203" s="4" t="s">
        <v>27</v>
      </c>
      <c r="U203" s="16">
        <v>3</v>
      </c>
    </row>
    <row r="204" spans="1:21" x14ac:dyDescent="0.3">
      <c r="A204" s="13" t="s">
        <v>400</v>
      </c>
      <c r="B204" s="45">
        <v>45370</v>
      </c>
      <c r="C204" s="1" t="s">
        <v>338</v>
      </c>
      <c r="D204" s="41" t="s">
        <v>1373</v>
      </c>
      <c r="E204" s="1">
        <v>2024</v>
      </c>
      <c r="F204" s="1" t="s">
        <v>41</v>
      </c>
      <c r="G204" s="60" t="s">
        <v>30</v>
      </c>
      <c r="H204" s="2" t="s">
        <v>50</v>
      </c>
      <c r="I204" s="2" t="s">
        <v>75</v>
      </c>
      <c r="J204" s="2" t="s">
        <v>236</v>
      </c>
      <c r="K204" s="1">
        <v>11</v>
      </c>
      <c r="L204" s="37">
        <v>72</v>
      </c>
      <c r="M204" s="3">
        <v>5</v>
      </c>
      <c r="N204" s="37">
        <v>792</v>
      </c>
      <c r="O204" s="37">
        <v>39.6</v>
      </c>
      <c r="P204" s="53">
        <v>752.4</v>
      </c>
      <c r="Q204" s="37">
        <v>290.05</v>
      </c>
      <c r="R204" s="37">
        <v>462.35</v>
      </c>
      <c r="S204" s="3">
        <v>61.5</v>
      </c>
      <c r="T204" s="1" t="s">
        <v>44</v>
      </c>
      <c r="U204" s="15">
        <v>1</v>
      </c>
    </row>
    <row r="205" spans="1:21" x14ac:dyDescent="0.3">
      <c r="A205" s="14" t="s">
        <v>401</v>
      </c>
      <c r="B205" s="46">
        <v>45370</v>
      </c>
      <c r="C205" s="4" t="s">
        <v>338</v>
      </c>
      <c r="D205" s="42" t="s">
        <v>1373</v>
      </c>
      <c r="E205" s="4">
        <v>2024</v>
      </c>
      <c r="F205" s="4" t="s">
        <v>35</v>
      </c>
      <c r="G205" s="61" t="s">
        <v>23</v>
      </c>
      <c r="H205" s="5" t="s">
        <v>24</v>
      </c>
      <c r="I205" s="5" t="s">
        <v>47</v>
      </c>
      <c r="J205" s="5" t="s">
        <v>402</v>
      </c>
      <c r="K205" s="4">
        <v>18</v>
      </c>
      <c r="L205" s="38">
        <v>172.17</v>
      </c>
      <c r="M205" s="6">
        <v>0</v>
      </c>
      <c r="N205" s="38">
        <v>3099.06</v>
      </c>
      <c r="O205" s="38">
        <v>0</v>
      </c>
      <c r="P205" s="54">
        <v>3099.06</v>
      </c>
      <c r="Q205" s="38">
        <v>1298.83</v>
      </c>
      <c r="R205" s="38">
        <v>1800.23</v>
      </c>
      <c r="S205" s="6">
        <v>58.1</v>
      </c>
      <c r="T205" s="4" t="s">
        <v>33</v>
      </c>
      <c r="U205" s="16">
        <v>1</v>
      </c>
    </row>
    <row r="206" spans="1:21" x14ac:dyDescent="0.3">
      <c r="A206" s="13" t="s">
        <v>403</v>
      </c>
      <c r="B206" s="45">
        <v>45370</v>
      </c>
      <c r="C206" s="1" t="s">
        <v>338</v>
      </c>
      <c r="D206" s="41" t="s">
        <v>1373</v>
      </c>
      <c r="E206" s="1">
        <v>2024</v>
      </c>
      <c r="F206" s="1" t="s">
        <v>41</v>
      </c>
      <c r="G206" s="60" t="s">
        <v>42</v>
      </c>
      <c r="H206" s="2" t="s">
        <v>59</v>
      </c>
      <c r="I206" s="2" t="s">
        <v>47</v>
      </c>
      <c r="J206" s="2" t="s">
        <v>73</v>
      </c>
      <c r="K206" s="1">
        <v>19</v>
      </c>
      <c r="L206" s="37">
        <v>55.6</v>
      </c>
      <c r="M206" s="3">
        <v>20</v>
      </c>
      <c r="N206" s="37">
        <v>1056.4000000000001</v>
      </c>
      <c r="O206" s="37">
        <v>211.28</v>
      </c>
      <c r="P206" s="53">
        <v>845.12</v>
      </c>
      <c r="Q206" s="37">
        <v>501.45</v>
      </c>
      <c r="R206" s="37">
        <v>343.67</v>
      </c>
      <c r="S206" s="3">
        <v>40.700000000000003</v>
      </c>
      <c r="T206" s="1" t="s">
        <v>33</v>
      </c>
      <c r="U206" s="15">
        <v>1</v>
      </c>
    </row>
    <row r="207" spans="1:21" x14ac:dyDescent="0.3">
      <c r="A207" s="14" t="s">
        <v>404</v>
      </c>
      <c r="B207" s="46">
        <v>45370</v>
      </c>
      <c r="C207" s="4" t="s">
        <v>338</v>
      </c>
      <c r="D207" s="42" t="s">
        <v>1373</v>
      </c>
      <c r="E207" s="4">
        <v>2024</v>
      </c>
      <c r="F207" s="4" t="s">
        <v>41</v>
      </c>
      <c r="G207" s="61" t="s">
        <v>46</v>
      </c>
      <c r="H207" s="5" t="s">
        <v>59</v>
      </c>
      <c r="I207" s="5" t="s">
        <v>25</v>
      </c>
      <c r="J207" s="5" t="s">
        <v>243</v>
      </c>
      <c r="K207" s="4">
        <v>5</v>
      </c>
      <c r="L207" s="38">
        <v>75.22</v>
      </c>
      <c r="M207" s="6">
        <v>15</v>
      </c>
      <c r="N207" s="38">
        <v>376.1</v>
      </c>
      <c r="O207" s="38">
        <v>56.41</v>
      </c>
      <c r="P207" s="54">
        <v>319.69</v>
      </c>
      <c r="Q207" s="38">
        <v>180.97</v>
      </c>
      <c r="R207" s="38">
        <v>138.72</v>
      </c>
      <c r="S207" s="6">
        <v>43.4</v>
      </c>
      <c r="T207" s="4" t="s">
        <v>44</v>
      </c>
      <c r="U207" s="16">
        <v>3</v>
      </c>
    </row>
    <row r="208" spans="1:21" x14ac:dyDescent="0.3">
      <c r="A208" s="13" t="s">
        <v>405</v>
      </c>
      <c r="B208" s="45">
        <v>45370</v>
      </c>
      <c r="C208" s="1" t="s">
        <v>338</v>
      </c>
      <c r="D208" s="41" t="s">
        <v>1373</v>
      </c>
      <c r="E208" s="1">
        <v>2024</v>
      </c>
      <c r="F208" s="1" t="s">
        <v>53</v>
      </c>
      <c r="G208" s="60" t="s">
        <v>36</v>
      </c>
      <c r="H208" s="2" t="s">
        <v>59</v>
      </c>
      <c r="I208" s="2" t="s">
        <v>38</v>
      </c>
      <c r="J208" s="2" t="s">
        <v>204</v>
      </c>
      <c r="K208" s="1">
        <v>19</v>
      </c>
      <c r="L208" s="37">
        <v>43.8</v>
      </c>
      <c r="M208" s="3">
        <v>10</v>
      </c>
      <c r="N208" s="37">
        <v>832.2</v>
      </c>
      <c r="O208" s="37">
        <v>83.22</v>
      </c>
      <c r="P208" s="53">
        <v>748.98</v>
      </c>
      <c r="Q208" s="37">
        <v>370.34</v>
      </c>
      <c r="R208" s="37">
        <v>378.64</v>
      </c>
      <c r="S208" s="3">
        <v>50.6</v>
      </c>
      <c r="T208" s="1" t="s">
        <v>44</v>
      </c>
      <c r="U208" s="15">
        <v>5</v>
      </c>
    </row>
    <row r="209" spans="1:21" x14ac:dyDescent="0.3">
      <c r="A209" s="14" t="s">
        <v>406</v>
      </c>
      <c r="B209" s="46">
        <v>45371</v>
      </c>
      <c r="C209" s="4" t="s">
        <v>338</v>
      </c>
      <c r="D209" s="42" t="s">
        <v>1373</v>
      </c>
      <c r="E209" s="4">
        <v>2024</v>
      </c>
      <c r="F209" s="4" t="s">
        <v>35</v>
      </c>
      <c r="G209" s="61" t="s">
        <v>58</v>
      </c>
      <c r="H209" s="5" t="s">
        <v>59</v>
      </c>
      <c r="I209" s="5" t="s">
        <v>75</v>
      </c>
      <c r="J209" s="5" t="s">
        <v>407</v>
      </c>
      <c r="K209" s="4">
        <v>16</v>
      </c>
      <c r="L209" s="38">
        <v>73.13</v>
      </c>
      <c r="M209" s="6">
        <v>10</v>
      </c>
      <c r="N209" s="38">
        <v>1170.08</v>
      </c>
      <c r="O209" s="38">
        <v>117.01</v>
      </c>
      <c r="P209" s="54">
        <v>1053.07</v>
      </c>
      <c r="Q209" s="38">
        <v>519.84</v>
      </c>
      <c r="R209" s="38">
        <v>533.23</v>
      </c>
      <c r="S209" s="6">
        <v>50.6</v>
      </c>
      <c r="T209" s="4" t="s">
        <v>44</v>
      </c>
      <c r="U209" s="16">
        <v>3</v>
      </c>
    </row>
    <row r="210" spans="1:21" x14ac:dyDescent="0.3">
      <c r="A210" s="13" t="s">
        <v>408</v>
      </c>
      <c r="B210" s="45">
        <v>45371</v>
      </c>
      <c r="C210" s="1" t="s">
        <v>338</v>
      </c>
      <c r="D210" s="41" t="s">
        <v>1373</v>
      </c>
      <c r="E210" s="1">
        <v>2024</v>
      </c>
      <c r="F210" s="1" t="s">
        <v>41</v>
      </c>
      <c r="G210" s="60" t="s">
        <v>46</v>
      </c>
      <c r="H210" s="2" t="s">
        <v>24</v>
      </c>
      <c r="I210" s="2" t="s">
        <v>38</v>
      </c>
      <c r="J210" s="2" t="s">
        <v>247</v>
      </c>
      <c r="K210" s="1">
        <v>11</v>
      </c>
      <c r="L210" s="37">
        <v>67.180000000000007</v>
      </c>
      <c r="M210" s="3">
        <v>10</v>
      </c>
      <c r="N210" s="37">
        <v>738.98</v>
      </c>
      <c r="O210" s="37">
        <v>73.900000000000006</v>
      </c>
      <c r="P210" s="53">
        <v>665.08</v>
      </c>
      <c r="Q210" s="37">
        <v>274.82</v>
      </c>
      <c r="R210" s="37">
        <v>390.26</v>
      </c>
      <c r="S210" s="3">
        <v>58.7</v>
      </c>
      <c r="T210" s="1" t="s">
        <v>27</v>
      </c>
      <c r="U210" s="15">
        <v>1</v>
      </c>
    </row>
    <row r="211" spans="1:21" x14ac:dyDescent="0.3">
      <c r="A211" s="14" t="s">
        <v>409</v>
      </c>
      <c r="B211" s="46">
        <v>45371</v>
      </c>
      <c r="C211" s="4" t="s">
        <v>338</v>
      </c>
      <c r="D211" s="42" t="s">
        <v>1373</v>
      </c>
      <c r="E211" s="4">
        <v>2024</v>
      </c>
      <c r="F211" s="4" t="s">
        <v>35</v>
      </c>
      <c r="G211" s="61" t="s">
        <v>46</v>
      </c>
      <c r="H211" s="5" t="s">
        <v>37</v>
      </c>
      <c r="I211" s="5" t="s">
        <v>55</v>
      </c>
      <c r="J211" s="5" t="s">
        <v>223</v>
      </c>
      <c r="K211" s="4">
        <v>2</v>
      </c>
      <c r="L211" s="38">
        <v>684</v>
      </c>
      <c r="M211" s="6">
        <v>0</v>
      </c>
      <c r="N211" s="38">
        <v>1368</v>
      </c>
      <c r="O211" s="38">
        <v>0</v>
      </c>
      <c r="P211" s="54">
        <v>1368</v>
      </c>
      <c r="Q211" s="38">
        <v>544.98</v>
      </c>
      <c r="R211" s="38">
        <v>823.02</v>
      </c>
      <c r="S211" s="6">
        <v>60.2</v>
      </c>
      <c r="T211" s="4" t="s">
        <v>27</v>
      </c>
      <c r="U211" s="16">
        <v>2</v>
      </c>
    </row>
    <row r="212" spans="1:21" x14ac:dyDescent="0.3">
      <c r="A212" s="13" t="s">
        <v>410</v>
      </c>
      <c r="B212" s="45">
        <v>45371</v>
      </c>
      <c r="C212" s="1" t="s">
        <v>338</v>
      </c>
      <c r="D212" s="41" t="s">
        <v>1373</v>
      </c>
      <c r="E212" s="1">
        <v>2024</v>
      </c>
      <c r="F212" s="1" t="s">
        <v>22</v>
      </c>
      <c r="G212" s="60" t="s">
        <v>91</v>
      </c>
      <c r="H212" s="2" t="s">
        <v>50</v>
      </c>
      <c r="I212" s="2" t="s">
        <v>47</v>
      </c>
      <c r="J212" s="2" t="s">
        <v>48</v>
      </c>
      <c r="K212" s="1">
        <v>2</v>
      </c>
      <c r="L212" s="37">
        <v>302.14</v>
      </c>
      <c r="M212" s="3">
        <v>5</v>
      </c>
      <c r="N212" s="37">
        <v>604.28</v>
      </c>
      <c r="O212" s="37">
        <v>30.21</v>
      </c>
      <c r="P212" s="53">
        <v>574.07000000000005</v>
      </c>
      <c r="Q212" s="37">
        <v>344.45</v>
      </c>
      <c r="R212" s="37">
        <v>229.62</v>
      </c>
      <c r="S212" s="3">
        <v>40</v>
      </c>
      <c r="T212" s="1" t="s">
        <v>27</v>
      </c>
      <c r="U212" s="15">
        <v>3</v>
      </c>
    </row>
    <row r="213" spans="1:21" x14ac:dyDescent="0.3">
      <c r="A213" s="14" t="s">
        <v>411</v>
      </c>
      <c r="B213" s="46">
        <v>45372</v>
      </c>
      <c r="C213" s="4" t="s">
        <v>338</v>
      </c>
      <c r="D213" s="42" t="s">
        <v>1373</v>
      </c>
      <c r="E213" s="4">
        <v>2024</v>
      </c>
      <c r="F213" s="4" t="s">
        <v>53</v>
      </c>
      <c r="G213" s="61" t="s">
        <v>66</v>
      </c>
      <c r="H213" s="5" t="s">
        <v>24</v>
      </c>
      <c r="I213" s="5" t="s">
        <v>38</v>
      </c>
      <c r="J213" s="5" t="s">
        <v>412</v>
      </c>
      <c r="K213" s="4">
        <v>4</v>
      </c>
      <c r="L213" s="38">
        <v>62.58</v>
      </c>
      <c r="M213" s="6">
        <v>0</v>
      </c>
      <c r="N213" s="38">
        <v>250.32</v>
      </c>
      <c r="O213" s="38">
        <v>0</v>
      </c>
      <c r="P213" s="54">
        <v>250.32</v>
      </c>
      <c r="Q213" s="38">
        <v>89.3</v>
      </c>
      <c r="R213" s="38">
        <v>161.02000000000001</v>
      </c>
      <c r="S213" s="6">
        <v>64.3</v>
      </c>
      <c r="T213" s="4" t="s">
        <v>44</v>
      </c>
      <c r="U213" s="16">
        <v>2</v>
      </c>
    </row>
    <row r="214" spans="1:21" x14ac:dyDescent="0.3">
      <c r="A214" s="13" t="s">
        <v>413</v>
      </c>
      <c r="B214" s="45">
        <v>45372</v>
      </c>
      <c r="C214" s="1" t="s">
        <v>338</v>
      </c>
      <c r="D214" s="41" t="s">
        <v>1373</v>
      </c>
      <c r="E214" s="1">
        <v>2024</v>
      </c>
      <c r="F214" s="1" t="s">
        <v>29</v>
      </c>
      <c r="G214" s="60" t="s">
        <v>23</v>
      </c>
      <c r="H214" s="2" t="s">
        <v>59</v>
      </c>
      <c r="I214" s="2" t="s">
        <v>25</v>
      </c>
      <c r="J214" s="2" t="s">
        <v>414</v>
      </c>
      <c r="K214" s="1">
        <v>15</v>
      </c>
      <c r="L214" s="37">
        <v>28.06</v>
      </c>
      <c r="M214" s="3">
        <v>10</v>
      </c>
      <c r="N214" s="37">
        <v>420.9</v>
      </c>
      <c r="O214" s="37">
        <v>42.09</v>
      </c>
      <c r="P214" s="53">
        <v>378.81</v>
      </c>
      <c r="Q214" s="37">
        <v>137.49</v>
      </c>
      <c r="R214" s="37">
        <v>241.32</v>
      </c>
      <c r="S214" s="3">
        <v>63.7</v>
      </c>
      <c r="T214" s="1" t="s">
        <v>44</v>
      </c>
      <c r="U214" s="15">
        <v>5</v>
      </c>
    </row>
    <row r="215" spans="1:21" x14ac:dyDescent="0.3">
      <c r="A215" s="14" t="s">
        <v>415</v>
      </c>
      <c r="B215" s="46">
        <v>45372</v>
      </c>
      <c r="C215" s="4" t="s">
        <v>338</v>
      </c>
      <c r="D215" s="42" t="s">
        <v>1373</v>
      </c>
      <c r="E215" s="4">
        <v>2024</v>
      </c>
      <c r="F215" s="4" t="s">
        <v>41</v>
      </c>
      <c r="G215" s="61" t="s">
        <v>36</v>
      </c>
      <c r="H215" s="5" t="s">
        <v>59</v>
      </c>
      <c r="I215" s="5" t="s">
        <v>75</v>
      </c>
      <c r="J215" s="5" t="s">
        <v>326</v>
      </c>
      <c r="K215" s="4">
        <v>1</v>
      </c>
      <c r="L215" s="38">
        <v>213.57</v>
      </c>
      <c r="M215" s="6">
        <v>0</v>
      </c>
      <c r="N215" s="38">
        <v>213.57</v>
      </c>
      <c r="O215" s="38">
        <v>0</v>
      </c>
      <c r="P215" s="54">
        <v>213.57</v>
      </c>
      <c r="Q215" s="38">
        <v>111.49</v>
      </c>
      <c r="R215" s="38">
        <v>102.08</v>
      </c>
      <c r="S215" s="6">
        <v>47.8</v>
      </c>
      <c r="T215" s="4" t="s">
        <v>33</v>
      </c>
      <c r="U215" s="16">
        <v>1</v>
      </c>
    </row>
    <row r="216" spans="1:21" x14ac:dyDescent="0.3">
      <c r="A216" s="13" t="s">
        <v>416</v>
      </c>
      <c r="B216" s="45">
        <v>45372</v>
      </c>
      <c r="C216" s="1" t="s">
        <v>338</v>
      </c>
      <c r="D216" s="41" t="s">
        <v>1373</v>
      </c>
      <c r="E216" s="1">
        <v>2024</v>
      </c>
      <c r="F216" s="1" t="s">
        <v>53</v>
      </c>
      <c r="G216" s="60" t="s">
        <v>36</v>
      </c>
      <c r="H216" s="2" t="s">
        <v>24</v>
      </c>
      <c r="I216" s="2" t="s">
        <v>47</v>
      </c>
      <c r="J216" s="2" t="s">
        <v>417</v>
      </c>
      <c r="K216" s="1">
        <v>4</v>
      </c>
      <c r="L216" s="37">
        <v>436.74</v>
      </c>
      <c r="M216" s="3">
        <v>20</v>
      </c>
      <c r="N216" s="37">
        <v>1746.96</v>
      </c>
      <c r="O216" s="37">
        <v>349.39</v>
      </c>
      <c r="P216" s="53">
        <v>1397.57</v>
      </c>
      <c r="Q216" s="37">
        <v>556.71</v>
      </c>
      <c r="R216" s="37">
        <v>840.86</v>
      </c>
      <c r="S216" s="3">
        <v>60.2</v>
      </c>
      <c r="T216" s="1" t="s">
        <v>44</v>
      </c>
      <c r="U216" s="15">
        <v>1</v>
      </c>
    </row>
    <row r="217" spans="1:21" x14ac:dyDescent="0.3">
      <c r="A217" s="14" t="s">
        <v>418</v>
      </c>
      <c r="B217" s="46">
        <v>45372</v>
      </c>
      <c r="C217" s="4" t="s">
        <v>338</v>
      </c>
      <c r="D217" s="42" t="s">
        <v>1373</v>
      </c>
      <c r="E217" s="4">
        <v>2024</v>
      </c>
      <c r="F217" s="4" t="s">
        <v>53</v>
      </c>
      <c r="G217" s="61" t="s">
        <v>122</v>
      </c>
      <c r="H217" s="5" t="s">
        <v>50</v>
      </c>
      <c r="I217" s="5" t="s">
        <v>38</v>
      </c>
      <c r="J217" s="5" t="s">
        <v>419</v>
      </c>
      <c r="K217" s="4">
        <v>6</v>
      </c>
      <c r="L217" s="38">
        <v>67.349999999999994</v>
      </c>
      <c r="M217" s="6">
        <v>15</v>
      </c>
      <c r="N217" s="38">
        <v>404.1</v>
      </c>
      <c r="O217" s="38">
        <v>60.62</v>
      </c>
      <c r="P217" s="54">
        <v>343.48</v>
      </c>
      <c r="Q217" s="38">
        <v>185.09</v>
      </c>
      <c r="R217" s="38">
        <v>158.38999999999999</v>
      </c>
      <c r="S217" s="6">
        <v>46.1</v>
      </c>
      <c r="T217" s="4" t="s">
        <v>27</v>
      </c>
      <c r="U217" s="16">
        <v>2</v>
      </c>
    </row>
    <row r="218" spans="1:21" x14ac:dyDescent="0.3">
      <c r="A218" s="13" t="s">
        <v>420</v>
      </c>
      <c r="B218" s="45">
        <v>45373</v>
      </c>
      <c r="C218" s="1" t="s">
        <v>338</v>
      </c>
      <c r="D218" s="41" t="s">
        <v>1373</v>
      </c>
      <c r="E218" s="1">
        <v>2024</v>
      </c>
      <c r="F218" s="1" t="s">
        <v>53</v>
      </c>
      <c r="G218" s="60" t="s">
        <v>23</v>
      </c>
      <c r="H218" s="2" t="s">
        <v>24</v>
      </c>
      <c r="I218" s="2" t="s">
        <v>38</v>
      </c>
      <c r="J218" s="2" t="s">
        <v>320</v>
      </c>
      <c r="K218" s="1">
        <v>15</v>
      </c>
      <c r="L218" s="37">
        <v>43.86</v>
      </c>
      <c r="M218" s="3">
        <v>5</v>
      </c>
      <c r="N218" s="37">
        <v>657.9</v>
      </c>
      <c r="O218" s="37">
        <v>32.9</v>
      </c>
      <c r="P218" s="53">
        <v>625</v>
      </c>
      <c r="Q218" s="37">
        <v>226.1</v>
      </c>
      <c r="R218" s="37">
        <v>398.9</v>
      </c>
      <c r="S218" s="3">
        <v>63.8</v>
      </c>
      <c r="T218" s="1" t="s">
        <v>33</v>
      </c>
      <c r="U218" s="15">
        <v>5</v>
      </c>
    </row>
    <row r="219" spans="1:21" x14ac:dyDescent="0.3">
      <c r="A219" s="14" t="s">
        <v>421</v>
      </c>
      <c r="B219" s="46">
        <v>45373</v>
      </c>
      <c r="C219" s="4" t="s">
        <v>338</v>
      </c>
      <c r="D219" s="42" t="s">
        <v>1373</v>
      </c>
      <c r="E219" s="4">
        <v>2024</v>
      </c>
      <c r="F219" s="4" t="s">
        <v>53</v>
      </c>
      <c r="G219" s="61" t="s">
        <v>58</v>
      </c>
      <c r="H219" s="5" t="s">
        <v>50</v>
      </c>
      <c r="I219" s="5" t="s">
        <v>75</v>
      </c>
      <c r="J219" s="5" t="s">
        <v>187</v>
      </c>
      <c r="K219" s="4">
        <v>15</v>
      </c>
      <c r="L219" s="38">
        <v>139.05000000000001</v>
      </c>
      <c r="M219" s="6">
        <v>10</v>
      </c>
      <c r="N219" s="38">
        <v>2085.75</v>
      </c>
      <c r="O219" s="38">
        <v>208.58</v>
      </c>
      <c r="P219" s="54">
        <v>1877.17</v>
      </c>
      <c r="Q219" s="38">
        <v>979.28</v>
      </c>
      <c r="R219" s="38">
        <v>897.89</v>
      </c>
      <c r="S219" s="6">
        <v>47.8</v>
      </c>
      <c r="T219" s="4" t="s">
        <v>44</v>
      </c>
      <c r="U219" s="16">
        <v>1</v>
      </c>
    </row>
    <row r="220" spans="1:21" x14ac:dyDescent="0.3">
      <c r="A220" s="13" t="s">
        <v>422</v>
      </c>
      <c r="B220" s="45">
        <v>45373</v>
      </c>
      <c r="C220" s="1" t="s">
        <v>338</v>
      </c>
      <c r="D220" s="41" t="s">
        <v>1373</v>
      </c>
      <c r="E220" s="1">
        <v>2024</v>
      </c>
      <c r="F220" s="1" t="s">
        <v>22</v>
      </c>
      <c r="G220" s="60" t="s">
        <v>36</v>
      </c>
      <c r="H220" s="2" t="s">
        <v>24</v>
      </c>
      <c r="I220" s="2" t="s">
        <v>25</v>
      </c>
      <c r="J220" s="2" t="s">
        <v>71</v>
      </c>
      <c r="K220" s="1">
        <v>1</v>
      </c>
      <c r="L220" s="37">
        <v>32.68</v>
      </c>
      <c r="M220" s="3">
        <v>0</v>
      </c>
      <c r="N220" s="37">
        <v>32.68</v>
      </c>
      <c r="O220" s="37">
        <v>0</v>
      </c>
      <c r="P220" s="53">
        <v>32.68</v>
      </c>
      <c r="Q220" s="37">
        <v>11.99</v>
      </c>
      <c r="R220" s="37">
        <v>20.69</v>
      </c>
      <c r="S220" s="3">
        <v>63.3</v>
      </c>
      <c r="T220" s="1" t="s">
        <v>44</v>
      </c>
      <c r="U220" s="15">
        <v>3</v>
      </c>
    </row>
    <row r="221" spans="1:21" x14ac:dyDescent="0.3">
      <c r="A221" s="14" t="s">
        <v>423</v>
      </c>
      <c r="B221" s="46">
        <v>45373</v>
      </c>
      <c r="C221" s="4" t="s">
        <v>338</v>
      </c>
      <c r="D221" s="42" t="s">
        <v>1373</v>
      </c>
      <c r="E221" s="4">
        <v>2024</v>
      </c>
      <c r="F221" s="4" t="s">
        <v>35</v>
      </c>
      <c r="G221" s="61" t="s">
        <v>58</v>
      </c>
      <c r="H221" s="5" t="s">
        <v>37</v>
      </c>
      <c r="I221" s="5" t="s">
        <v>55</v>
      </c>
      <c r="J221" s="5" t="s">
        <v>424</v>
      </c>
      <c r="K221" s="4">
        <v>14</v>
      </c>
      <c r="L221" s="38">
        <v>1124.95</v>
      </c>
      <c r="M221" s="6">
        <v>5</v>
      </c>
      <c r="N221" s="38">
        <v>15749.3</v>
      </c>
      <c r="O221" s="38">
        <v>787.47</v>
      </c>
      <c r="P221" s="54">
        <v>14961.83</v>
      </c>
      <c r="Q221" s="38">
        <v>6395.85</v>
      </c>
      <c r="R221" s="38">
        <v>8565.98</v>
      </c>
      <c r="S221" s="6">
        <v>57.3</v>
      </c>
      <c r="T221" s="4" t="s">
        <v>44</v>
      </c>
      <c r="U221" s="16">
        <v>2</v>
      </c>
    </row>
    <row r="222" spans="1:21" x14ac:dyDescent="0.3">
      <c r="A222" s="13" t="s">
        <v>425</v>
      </c>
      <c r="B222" s="45">
        <v>45374</v>
      </c>
      <c r="C222" s="1" t="s">
        <v>338</v>
      </c>
      <c r="D222" s="41" t="s">
        <v>1373</v>
      </c>
      <c r="E222" s="1">
        <v>2024</v>
      </c>
      <c r="F222" s="1" t="s">
        <v>29</v>
      </c>
      <c r="G222" s="60" t="s">
        <v>54</v>
      </c>
      <c r="H222" s="2" t="s">
        <v>59</v>
      </c>
      <c r="I222" s="2" t="s">
        <v>25</v>
      </c>
      <c r="J222" s="2" t="s">
        <v>426</v>
      </c>
      <c r="K222" s="1">
        <v>7</v>
      </c>
      <c r="L222" s="37">
        <v>41.57</v>
      </c>
      <c r="M222" s="3">
        <v>0</v>
      </c>
      <c r="N222" s="37">
        <v>290.99</v>
      </c>
      <c r="O222" s="37">
        <v>0</v>
      </c>
      <c r="P222" s="53">
        <v>290.99</v>
      </c>
      <c r="Q222" s="37">
        <v>117.56</v>
      </c>
      <c r="R222" s="37">
        <v>173.43</v>
      </c>
      <c r="S222" s="3">
        <v>59.6</v>
      </c>
      <c r="T222" s="1" t="s">
        <v>44</v>
      </c>
      <c r="U222" s="15">
        <v>5</v>
      </c>
    </row>
    <row r="223" spans="1:21" x14ac:dyDescent="0.3">
      <c r="A223" s="14" t="s">
        <v>427</v>
      </c>
      <c r="B223" s="46">
        <v>45374</v>
      </c>
      <c r="C223" s="4" t="s">
        <v>338</v>
      </c>
      <c r="D223" s="42" t="s">
        <v>1373</v>
      </c>
      <c r="E223" s="4">
        <v>2024</v>
      </c>
      <c r="F223" s="4" t="s">
        <v>29</v>
      </c>
      <c r="G223" s="61" t="s">
        <v>58</v>
      </c>
      <c r="H223" s="5" t="s">
        <v>37</v>
      </c>
      <c r="I223" s="5" t="s">
        <v>55</v>
      </c>
      <c r="J223" s="5" t="s">
        <v>428</v>
      </c>
      <c r="K223" s="4">
        <v>5</v>
      </c>
      <c r="L223" s="38">
        <v>1139.6099999999999</v>
      </c>
      <c r="M223" s="6">
        <v>20</v>
      </c>
      <c r="N223" s="38">
        <v>5698.05</v>
      </c>
      <c r="O223" s="38">
        <v>1139.6099999999999</v>
      </c>
      <c r="P223" s="54">
        <v>4558.4399999999996</v>
      </c>
      <c r="Q223" s="38">
        <v>2905.88</v>
      </c>
      <c r="R223" s="38">
        <v>1652.56</v>
      </c>
      <c r="S223" s="6">
        <v>36.299999999999997</v>
      </c>
      <c r="T223" s="4" t="s">
        <v>33</v>
      </c>
      <c r="U223" s="16">
        <v>2</v>
      </c>
    </row>
    <row r="224" spans="1:21" x14ac:dyDescent="0.3">
      <c r="A224" s="13" t="s">
        <v>429</v>
      </c>
      <c r="B224" s="45">
        <v>45375</v>
      </c>
      <c r="C224" s="1" t="s">
        <v>338</v>
      </c>
      <c r="D224" s="41" t="s">
        <v>1373</v>
      </c>
      <c r="E224" s="1">
        <v>2024</v>
      </c>
      <c r="F224" s="1" t="s">
        <v>35</v>
      </c>
      <c r="G224" s="60" t="s">
        <v>66</v>
      </c>
      <c r="H224" s="2" t="s">
        <v>24</v>
      </c>
      <c r="I224" s="2" t="s">
        <v>31</v>
      </c>
      <c r="J224" s="2" t="s">
        <v>32</v>
      </c>
      <c r="K224" s="1">
        <v>10</v>
      </c>
      <c r="L224" s="37">
        <v>111</v>
      </c>
      <c r="M224" s="3">
        <v>20</v>
      </c>
      <c r="N224" s="37">
        <v>1110</v>
      </c>
      <c r="O224" s="37">
        <v>222</v>
      </c>
      <c r="P224" s="53">
        <v>888</v>
      </c>
      <c r="Q224" s="37">
        <v>470.47</v>
      </c>
      <c r="R224" s="37">
        <v>417.53</v>
      </c>
      <c r="S224" s="3">
        <v>47</v>
      </c>
      <c r="T224" s="1" t="s">
        <v>33</v>
      </c>
      <c r="U224" s="15">
        <v>1</v>
      </c>
    </row>
    <row r="225" spans="1:21" x14ac:dyDescent="0.3">
      <c r="A225" s="14" t="s">
        <v>430</v>
      </c>
      <c r="B225" s="46">
        <v>45375</v>
      </c>
      <c r="C225" s="4" t="s">
        <v>338</v>
      </c>
      <c r="D225" s="42" t="s">
        <v>1373</v>
      </c>
      <c r="E225" s="4">
        <v>2024</v>
      </c>
      <c r="F225" s="4" t="s">
        <v>29</v>
      </c>
      <c r="G225" s="61" t="s">
        <v>23</v>
      </c>
      <c r="H225" s="5" t="s">
        <v>37</v>
      </c>
      <c r="I225" s="5" t="s">
        <v>38</v>
      </c>
      <c r="J225" s="5" t="s">
        <v>431</v>
      </c>
      <c r="K225" s="4">
        <v>6</v>
      </c>
      <c r="L225" s="38">
        <v>26.3</v>
      </c>
      <c r="M225" s="6">
        <v>0</v>
      </c>
      <c r="N225" s="38">
        <v>157.80000000000001</v>
      </c>
      <c r="O225" s="38">
        <v>0</v>
      </c>
      <c r="P225" s="54">
        <v>157.80000000000001</v>
      </c>
      <c r="Q225" s="38">
        <v>81.91</v>
      </c>
      <c r="R225" s="38">
        <v>75.89</v>
      </c>
      <c r="S225" s="6">
        <v>48.1</v>
      </c>
      <c r="T225" s="4" t="s">
        <v>44</v>
      </c>
      <c r="U225" s="16">
        <v>2</v>
      </c>
    </row>
    <row r="226" spans="1:21" x14ac:dyDescent="0.3">
      <c r="A226" s="13" t="s">
        <v>432</v>
      </c>
      <c r="B226" s="45">
        <v>45375</v>
      </c>
      <c r="C226" s="1" t="s">
        <v>338</v>
      </c>
      <c r="D226" s="41" t="s">
        <v>1373</v>
      </c>
      <c r="E226" s="1">
        <v>2024</v>
      </c>
      <c r="F226" s="1" t="s">
        <v>53</v>
      </c>
      <c r="G226" s="60" t="s">
        <v>66</v>
      </c>
      <c r="H226" s="2" t="s">
        <v>50</v>
      </c>
      <c r="I226" s="2" t="s">
        <v>38</v>
      </c>
      <c r="J226" s="2" t="s">
        <v>433</v>
      </c>
      <c r="K226" s="1">
        <v>9</v>
      </c>
      <c r="L226" s="37">
        <v>10.91</v>
      </c>
      <c r="M226" s="3">
        <v>0</v>
      </c>
      <c r="N226" s="37">
        <v>98.19</v>
      </c>
      <c r="O226" s="37">
        <v>0</v>
      </c>
      <c r="P226" s="53">
        <v>98.19</v>
      </c>
      <c r="Q226" s="37">
        <v>34.909999999999997</v>
      </c>
      <c r="R226" s="37">
        <v>63.28</v>
      </c>
      <c r="S226" s="3">
        <v>64.400000000000006</v>
      </c>
      <c r="T226" s="1" t="s">
        <v>27</v>
      </c>
      <c r="U226" s="15">
        <v>3</v>
      </c>
    </row>
    <row r="227" spans="1:21" x14ac:dyDescent="0.3">
      <c r="A227" s="14" t="s">
        <v>434</v>
      </c>
      <c r="B227" s="46">
        <v>45375</v>
      </c>
      <c r="C227" s="4" t="s">
        <v>338</v>
      </c>
      <c r="D227" s="42" t="s">
        <v>1373</v>
      </c>
      <c r="E227" s="4">
        <v>2024</v>
      </c>
      <c r="F227" s="4" t="s">
        <v>22</v>
      </c>
      <c r="G227" s="61" t="s">
        <v>66</v>
      </c>
      <c r="H227" s="5" t="s">
        <v>24</v>
      </c>
      <c r="I227" s="5" t="s">
        <v>47</v>
      </c>
      <c r="J227" s="5" t="s">
        <v>164</v>
      </c>
      <c r="K227" s="4">
        <v>3</v>
      </c>
      <c r="L227" s="38">
        <v>114.22</v>
      </c>
      <c r="M227" s="6">
        <v>0</v>
      </c>
      <c r="N227" s="38">
        <v>342.66</v>
      </c>
      <c r="O227" s="38">
        <v>0</v>
      </c>
      <c r="P227" s="54">
        <v>342.66</v>
      </c>
      <c r="Q227" s="38">
        <v>193.9</v>
      </c>
      <c r="R227" s="38">
        <v>148.76</v>
      </c>
      <c r="S227" s="6">
        <v>43.4</v>
      </c>
      <c r="T227" s="4" t="s">
        <v>44</v>
      </c>
      <c r="U227" s="16">
        <v>1</v>
      </c>
    </row>
    <row r="228" spans="1:21" x14ac:dyDescent="0.3">
      <c r="A228" s="13" t="s">
        <v>435</v>
      </c>
      <c r="B228" s="45">
        <v>45376</v>
      </c>
      <c r="C228" s="1" t="s">
        <v>338</v>
      </c>
      <c r="D228" s="41" t="s">
        <v>1373</v>
      </c>
      <c r="E228" s="1">
        <v>2024</v>
      </c>
      <c r="F228" s="1" t="s">
        <v>53</v>
      </c>
      <c r="G228" s="60" t="s">
        <v>46</v>
      </c>
      <c r="H228" s="2" t="s">
        <v>50</v>
      </c>
      <c r="I228" s="2" t="s">
        <v>31</v>
      </c>
      <c r="J228" s="2" t="s">
        <v>145</v>
      </c>
      <c r="K228" s="1">
        <v>12</v>
      </c>
      <c r="L228" s="37">
        <v>191.93</v>
      </c>
      <c r="M228" s="3">
        <v>0</v>
      </c>
      <c r="N228" s="37">
        <v>2303.16</v>
      </c>
      <c r="O228" s="37">
        <v>0</v>
      </c>
      <c r="P228" s="53">
        <v>2303.16</v>
      </c>
      <c r="Q228" s="37">
        <v>1263.3399999999999</v>
      </c>
      <c r="R228" s="37">
        <v>1039.82</v>
      </c>
      <c r="S228" s="3">
        <v>45.1</v>
      </c>
      <c r="T228" s="1" t="s">
        <v>44</v>
      </c>
      <c r="U228" s="15">
        <v>5</v>
      </c>
    </row>
    <row r="229" spans="1:21" x14ac:dyDescent="0.3">
      <c r="A229" s="14" t="s">
        <v>436</v>
      </c>
      <c r="B229" s="46">
        <v>45376</v>
      </c>
      <c r="C229" s="4" t="s">
        <v>338</v>
      </c>
      <c r="D229" s="42" t="s">
        <v>1373</v>
      </c>
      <c r="E229" s="4">
        <v>2024</v>
      </c>
      <c r="F229" s="4" t="s">
        <v>53</v>
      </c>
      <c r="G229" s="61" t="s">
        <v>42</v>
      </c>
      <c r="H229" s="5" t="s">
        <v>37</v>
      </c>
      <c r="I229" s="5" t="s">
        <v>38</v>
      </c>
      <c r="J229" s="5" t="s">
        <v>419</v>
      </c>
      <c r="K229" s="4">
        <v>9</v>
      </c>
      <c r="L229" s="38">
        <v>25.58</v>
      </c>
      <c r="M229" s="6">
        <v>5</v>
      </c>
      <c r="N229" s="38">
        <v>230.22</v>
      </c>
      <c r="O229" s="38">
        <v>11.51</v>
      </c>
      <c r="P229" s="54">
        <v>218.71</v>
      </c>
      <c r="Q229" s="38">
        <v>95.15</v>
      </c>
      <c r="R229" s="38">
        <v>123.56</v>
      </c>
      <c r="S229" s="6">
        <v>56.5</v>
      </c>
      <c r="T229" s="4" t="s">
        <v>44</v>
      </c>
      <c r="U229" s="16">
        <v>5</v>
      </c>
    </row>
    <row r="230" spans="1:21" x14ac:dyDescent="0.3">
      <c r="A230" s="13" t="s">
        <v>437</v>
      </c>
      <c r="B230" s="45">
        <v>45376</v>
      </c>
      <c r="C230" s="1" t="s">
        <v>338</v>
      </c>
      <c r="D230" s="41" t="s">
        <v>1373</v>
      </c>
      <c r="E230" s="1">
        <v>2024</v>
      </c>
      <c r="F230" s="1" t="s">
        <v>22</v>
      </c>
      <c r="G230" s="60" t="s">
        <v>66</v>
      </c>
      <c r="H230" s="2" t="s">
        <v>59</v>
      </c>
      <c r="I230" s="2" t="s">
        <v>55</v>
      </c>
      <c r="J230" s="2" t="s">
        <v>438</v>
      </c>
      <c r="K230" s="1">
        <v>3</v>
      </c>
      <c r="L230" s="37">
        <v>768.78</v>
      </c>
      <c r="M230" s="3">
        <v>10</v>
      </c>
      <c r="N230" s="37">
        <v>2306.34</v>
      </c>
      <c r="O230" s="37">
        <v>230.63</v>
      </c>
      <c r="P230" s="53">
        <v>2075.71</v>
      </c>
      <c r="Q230" s="37">
        <v>779.9</v>
      </c>
      <c r="R230" s="37">
        <v>1295.81</v>
      </c>
      <c r="S230" s="3">
        <v>62.4</v>
      </c>
      <c r="T230" s="1" t="s">
        <v>27</v>
      </c>
      <c r="U230" s="15">
        <v>1</v>
      </c>
    </row>
    <row r="231" spans="1:21" x14ac:dyDescent="0.3">
      <c r="A231" s="14" t="s">
        <v>439</v>
      </c>
      <c r="B231" s="46">
        <v>45377</v>
      </c>
      <c r="C231" s="4" t="s">
        <v>338</v>
      </c>
      <c r="D231" s="42" t="s">
        <v>1373</v>
      </c>
      <c r="E231" s="4">
        <v>2024</v>
      </c>
      <c r="F231" s="4" t="s">
        <v>41</v>
      </c>
      <c r="G231" s="61" t="s">
        <v>23</v>
      </c>
      <c r="H231" s="5" t="s">
        <v>24</v>
      </c>
      <c r="I231" s="5" t="s">
        <v>75</v>
      </c>
      <c r="J231" s="5" t="s">
        <v>440</v>
      </c>
      <c r="K231" s="4">
        <v>12</v>
      </c>
      <c r="L231" s="38">
        <v>255.41</v>
      </c>
      <c r="M231" s="6">
        <v>5</v>
      </c>
      <c r="N231" s="38">
        <v>3064.92</v>
      </c>
      <c r="O231" s="38">
        <v>153.25</v>
      </c>
      <c r="P231" s="54">
        <v>2911.67</v>
      </c>
      <c r="Q231" s="38">
        <v>1411.46</v>
      </c>
      <c r="R231" s="38">
        <v>1500.21</v>
      </c>
      <c r="S231" s="6">
        <v>51.5</v>
      </c>
      <c r="T231" s="4" t="s">
        <v>44</v>
      </c>
      <c r="U231" s="16">
        <v>5</v>
      </c>
    </row>
    <row r="232" spans="1:21" x14ac:dyDescent="0.3">
      <c r="A232" s="13" t="s">
        <v>441</v>
      </c>
      <c r="B232" s="45">
        <v>45377</v>
      </c>
      <c r="C232" s="1" t="s">
        <v>338</v>
      </c>
      <c r="D232" s="41" t="s">
        <v>1373</v>
      </c>
      <c r="E232" s="1">
        <v>2024</v>
      </c>
      <c r="F232" s="1" t="s">
        <v>29</v>
      </c>
      <c r="G232" s="60" t="s">
        <v>42</v>
      </c>
      <c r="H232" s="2" t="s">
        <v>50</v>
      </c>
      <c r="I232" s="2" t="s">
        <v>55</v>
      </c>
      <c r="J232" s="2" t="s">
        <v>155</v>
      </c>
      <c r="K232" s="1">
        <v>6</v>
      </c>
      <c r="L232" s="37">
        <v>157.44</v>
      </c>
      <c r="M232" s="3">
        <v>0</v>
      </c>
      <c r="N232" s="37">
        <v>944.64</v>
      </c>
      <c r="O232" s="37">
        <v>0</v>
      </c>
      <c r="P232" s="53">
        <v>944.64</v>
      </c>
      <c r="Q232" s="37">
        <v>611.97</v>
      </c>
      <c r="R232" s="37">
        <v>332.67</v>
      </c>
      <c r="S232" s="3">
        <v>35.200000000000003</v>
      </c>
      <c r="T232" s="1" t="s">
        <v>44</v>
      </c>
      <c r="U232" s="15">
        <v>4</v>
      </c>
    </row>
    <row r="233" spans="1:21" x14ac:dyDescent="0.3">
      <c r="A233" s="14" t="s">
        <v>442</v>
      </c>
      <c r="B233" s="46">
        <v>45378</v>
      </c>
      <c r="C233" s="4" t="s">
        <v>338</v>
      </c>
      <c r="D233" s="42" t="s">
        <v>1373</v>
      </c>
      <c r="E233" s="4">
        <v>2024</v>
      </c>
      <c r="F233" s="4" t="s">
        <v>22</v>
      </c>
      <c r="G233" s="61" t="s">
        <v>23</v>
      </c>
      <c r="H233" s="5" t="s">
        <v>37</v>
      </c>
      <c r="I233" s="5" t="s">
        <v>38</v>
      </c>
      <c r="J233" s="5" t="s">
        <v>443</v>
      </c>
      <c r="K233" s="4">
        <v>2</v>
      </c>
      <c r="L233" s="38">
        <v>53.07</v>
      </c>
      <c r="M233" s="6">
        <v>0</v>
      </c>
      <c r="N233" s="38">
        <v>106.14</v>
      </c>
      <c r="O233" s="38">
        <v>0</v>
      </c>
      <c r="P233" s="54">
        <v>106.14</v>
      </c>
      <c r="Q233" s="38">
        <v>64.77</v>
      </c>
      <c r="R233" s="38">
        <v>41.37</v>
      </c>
      <c r="S233" s="6">
        <v>39</v>
      </c>
      <c r="T233" s="4" t="s">
        <v>27</v>
      </c>
      <c r="U233" s="16">
        <v>1</v>
      </c>
    </row>
    <row r="234" spans="1:21" x14ac:dyDescent="0.3">
      <c r="A234" s="13" t="s">
        <v>444</v>
      </c>
      <c r="B234" s="45">
        <v>45379</v>
      </c>
      <c r="C234" s="1" t="s">
        <v>338</v>
      </c>
      <c r="D234" s="41" t="s">
        <v>1373</v>
      </c>
      <c r="E234" s="1">
        <v>2024</v>
      </c>
      <c r="F234" s="1" t="s">
        <v>35</v>
      </c>
      <c r="G234" s="60" t="s">
        <v>46</v>
      </c>
      <c r="H234" s="2" t="s">
        <v>24</v>
      </c>
      <c r="I234" s="2" t="s">
        <v>38</v>
      </c>
      <c r="J234" s="2" t="s">
        <v>445</v>
      </c>
      <c r="K234" s="1">
        <v>13</v>
      </c>
      <c r="L234" s="37">
        <v>49.39</v>
      </c>
      <c r="M234" s="3">
        <v>20</v>
      </c>
      <c r="N234" s="37">
        <v>642.07000000000005</v>
      </c>
      <c r="O234" s="37">
        <v>128.41</v>
      </c>
      <c r="P234" s="53">
        <v>513.66</v>
      </c>
      <c r="Q234" s="37">
        <v>206.07</v>
      </c>
      <c r="R234" s="37">
        <v>307.58999999999997</v>
      </c>
      <c r="S234" s="3">
        <v>59.9</v>
      </c>
      <c r="T234" s="1" t="s">
        <v>44</v>
      </c>
      <c r="U234" s="15">
        <v>1</v>
      </c>
    </row>
    <row r="235" spans="1:21" x14ac:dyDescent="0.3">
      <c r="A235" s="14" t="s">
        <v>446</v>
      </c>
      <c r="B235" s="46">
        <v>45380</v>
      </c>
      <c r="C235" s="4" t="s">
        <v>338</v>
      </c>
      <c r="D235" s="42" t="s">
        <v>1373</v>
      </c>
      <c r="E235" s="4">
        <v>2024</v>
      </c>
      <c r="F235" s="4" t="s">
        <v>35</v>
      </c>
      <c r="G235" s="61" t="s">
        <v>30</v>
      </c>
      <c r="H235" s="5" t="s">
        <v>59</v>
      </c>
      <c r="I235" s="5" t="s">
        <v>55</v>
      </c>
      <c r="J235" s="5" t="s">
        <v>210</v>
      </c>
      <c r="K235" s="4">
        <v>10</v>
      </c>
      <c r="L235" s="38">
        <v>717.74</v>
      </c>
      <c r="M235" s="6">
        <v>15</v>
      </c>
      <c r="N235" s="38">
        <v>7177.4</v>
      </c>
      <c r="O235" s="38">
        <v>1076.6099999999999</v>
      </c>
      <c r="P235" s="54">
        <v>6100.79</v>
      </c>
      <c r="Q235" s="38">
        <v>3655.04</v>
      </c>
      <c r="R235" s="38">
        <v>2445.75</v>
      </c>
      <c r="S235" s="6">
        <v>40.1</v>
      </c>
      <c r="T235" s="4" t="s">
        <v>44</v>
      </c>
      <c r="U235" s="16">
        <v>3</v>
      </c>
    </row>
    <row r="236" spans="1:21" x14ac:dyDescent="0.3">
      <c r="A236" s="13" t="s">
        <v>447</v>
      </c>
      <c r="B236" s="45">
        <v>45381</v>
      </c>
      <c r="C236" s="1" t="s">
        <v>338</v>
      </c>
      <c r="D236" s="41" t="s">
        <v>1373</v>
      </c>
      <c r="E236" s="1">
        <v>2024</v>
      </c>
      <c r="F236" s="1" t="s">
        <v>35</v>
      </c>
      <c r="G236" s="60" t="s">
        <v>46</v>
      </c>
      <c r="H236" s="2" t="s">
        <v>24</v>
      </c>
      <c r="I236" s="2" t="s">
        <v>75</v>
      </c>
      <c r="J236" s="2" t="s">
        <v>79</v>
      </c>
      <c r="K236" s="1">
        <v>8</v>
      </c>
      <c r="L236" s="37">
        <v>89.2</v>
      </c>
      <c r="M236" s="3">
        <v>0</v>
      </c>
      <c r="N236" s="37">
        <v>713.6</v>
      </c>
      <c r="O236" s="37">
        <v>0</v>
      </c>
      <c r="P236" s="53">
        <v>713.6</v>
      </c>
      <c r="Q236" s="37">
        <v>378.39</v>
      </c>
      <c r="R236" s="37">
        <v>335.21</v>
      </c>
      <c r="S236" s="3">
        <v>47</v>
      </c>
      <c r="T236" s="1" t="s">
        <v>27</v>
      </c>
      <c r="U236" s="15">
        <v>1</v>
      </c>
    </row>
    <row r="237" spans="1:21" x14ac:dyDescent="0.3">
      <c r="A237" s="14" t="s">
        <v>448</v>
      </c>
      <c r="B237" s="46">
        <v>45382</v>
      </c>
      <c r="C237" s="4" t="s">
        <v>338</v>
      </c>
      <c r="D237" s="42" t="s">
        <v>1373</v>
      </c>
      <c r="E237" s="4">
        <v>2024</v>
      </c>
      <c r="F237" s="4" t="s">
        <v>41</v>
      </c>
      <c r="G237" s="61" t="s">
        <v>46</v>
      </c>
      <c r="H237" s="5" t="s">
        <v>59</v>
      </c>
      <c r="I237" s="5" t="s">
        <v>31</v>
      </c>
      <c r="J237" s="5" t="s">
        <v>135</v>
      </c>
      <c r="K237" s="4">
        <v>14</v>
      </c>
      <c r="L237" s="38">
        <v>130.53</v>
      </c>
      <c r="M237" s="6">
        <v>20</v>
      </c>
      <c r="N237" s="38">
        <v>1827.42</v>
      </c>
      <c r="O237" s="38">
        <v>365.48</v>
      </c>
      <c r="P237" s="54">
        <v>1461.94</v>
      </c>
      <c r="Q237" s="38">
        <v>860.18</v>
      </c>
      <c r="R237" s="38">
        <v>601.76</v>
      </c>
      <c r="S237" s="6">
        <v>41.2</v>
      </c>
      <c r="T237" s="4" t="s">
        <v>33</v>
      </c>
      <c r="U237" s="16">
        <v>3</v>
      </c>
    </row>
    <row r="238" spans="1:21" x14ac:dyDescent="0.3">
      <c r="A238" s="13" t="s">
        <v>449</v>
      </c>
      <c r="B238" s="45">
        <v>45382</v>
      </c>
      <c r="C238" s="1" t="s">
        <v>338</v>
      </c>
      <c r="D238" s="41" t="s">
        <v>1373</v>
      </c>
      <c r="E238" s="1">
        <v>2024</v>
      </c>
      <c r="F238" s="1" t="s">
        <v>22</v>
      </c>
      <c r="G238" s="60" t="s">
        <v>36</v>
      </c>
      <c r="H238" s="2" t="s">
        <v>37</v>
      </c>
      <c r="I238" s="2" t="s">
        <v>38</v>
      </c>
      <c r="J238" s="2" t="s">
        <v>450</v>
      </c>
      <c r="K238" s="1">
        <v>3</v>
      </c>
      <c r="L238" s="37">
        <v>72.650000000000006</v>
      </c>
      <c r="M238" s="3">
        <v>0</v>
      </c>
      <c r="N238" s="37">
        <v>217.95</v>
      </c>
      <c r="O238" s="37">
        <v>0</v>
      </c>
      <c r="P238" s="53">
        <v>217.95</v>
      </c>
      <c r="Q238" s="37">
        <v>129.93</v>
      </c>
      <c r="R238" s="37">
        <v>88.02</v>
      </c>
      <c r="S238" s="3">
        <v>40.4</v>
      </c>
      <c r="T238" s="1" t="s">
        <v>44</v>
      </c>
      <c r="U238" s="15">
        <v>1</v>
      </c>
    </row>
    <row r="239" spans="1:21" x14ac:dyDescent="0.3">
      <c r="A239" s="14" t="s">
        <v>451</v>
      </c>
      <c r="B239" s="46">
        <v>45382</v>
      </c>
      <c r="C239" s="4" t="s">
        <v>338</v>
      </c>
      <c r="D239" s="42" t="s">
        <v>1373</v>
      </c>
      <c r="E239" s="4">
        <v>2024</v>
      </c>
      <c r="F239" s="4" t="s">
        <v>41</v>
      </c>
      <c r="G239" s="61" t="s">
        <v>30</v>
      </c>
      <c r="H239" s="5" t="s">
        <v>50</v>
      </c>
      <c r="I239" s="5" t="s">
        <v>47</v>
      </c>
      <c r="J239" s="5" t="s">
        <v>452</v>
      </c>
      <c r="K239" s="4">
        <v>4</v>
      </c>
      <c r="L239" s="38">
        <v>182.06</v>
      </c>
      <c r="M239" s="6">
        <v>5</v>
      </c>
      <c r="N239" s="38">
        <v>728.24</v>
      </c>
      <c r="O239" s="38">
        <v>36.409999999999997</v>
      </c>
      <c r="P239" s="54">
        <v>691.83</v>
      </c>
      <c r="Q239" s="38">
        <v>279.89</v>
      </c>
      <c r="R239" s="38">
        <v>411.94</v>
      </c>
      <c r="S239" s="6">
        <v>59.5</v>
      </c>
      <c r="T239" s="4" t="s">
        <v>33</v>
      </c>
      <c r="U239" s="16">
        <v>3</v>
      </c>
    </row>
    <row r="240" spans="1:21" x14ac:dyDescent="0.3">
      <c r="A240" s="13" t="s">
        <v>453</v>
      </c>
      <c r="B240" s="45">
        <v>45383</v>
      </c>
      <c r="C240" s="1" t="s">
        <v>454</v>
      </c>
      <c r="D240" s="41" t="s">
        <v>1374</v>
      </c>
      <c r="E240" s="1">
        <v>2024</v>
      </c>
      <c r="F240" s="1" t="s">
        <v>35</v>
      </c>
      <c r="G240" s="60" t="s">
        <v>42</v>
      </c>
      <c r="H240" s="2" t="s">
        <v>24</v>
      </c>
      <c r="I240" s="2" t="s">
        <v>55</v>
      </c>
      <c r="J240" s="2" t="s">
        <v>455</v>
      </c>
      <c r="K240" s="1">
        <v>1</v>
      </c>
      <c r="L240" s="37">
        <v>1112.52</v>
      </c>
      <c r="M240" s="3">
        <v>0</v>
      </c>
      <c r="N240" s="37">
        <v>1112.52</v>
      </c>
      <c r="O240" s="37">
        <v>0</v>
      </c>
      <c r="P240" s="53">
        <v>1112.52</v>
      </c>
      <c r="Q240" s="37">
        <v>609.54</v>
      </c>
      <c r="R240" s="37">
        <v>502.98</v>
      </c>
      <c r="S240" s="3">
        <v>45.2</v>
      </c>
      <c r="T240" s="1" t="s">
        <v>44</v>
      </c>
      <c r="U240" s="15">
        <v>3</v>
      </c>
    </row>
    <row r="241" spans="1:21" x14ac:dyDescent="0.3">
      <c r="A241" s="14" t="s">
        <v>456</v>
      </c>
      <c r="B241" s="46">
        <v>45383</v>
      </c>
      <c r="C241" s="4" t="s">
        <v>454</v>
      </c>
      <c r="D241" s="42" t="s">
        <v>1374</v>
      </c>
      <c r="E241" s="4">
        <v>2024</v>
      </c>
      <c r="F241" s="4" t="s">
        <v>53</v>
      </c>
      <c r="G241" s="61" t="s">
        <v>66</v>
      </c>
      <c r="H241" s="5" t="s">
        <v>24</v>
      </c>
      <c r="I241" s="5" t="s">
        <v>55</v>
      </c>
      <c r="J241" s="5" t="s">
        <v>457</v>
      </c>
      <c r="K241" s="4">
        <v>7</v>
      </c>
      <c r="L241" s="38">
        <v>97.37</v>
      </c>
      <c r="M241" s="6">
        <v>15</v>
      </c>
      <c r="N241" s="38">
        <v>681.59</v>
      </c>
      <c r="O241" s="38">
        <v>102.24</v>
      </c>
      <c r="P241" s="54">
        <v>579.35</v>
      </c>
      <c r="Q241" s="38">
        <v>248.75</v>
      </c>
      <c r="R241" s="38">
        <v>330.6</v>
      </c>
      <c r="S241" s="6">
        <v>57.1</v>
      </c>
      <c r="T241" s="4" t="s">
        <v>33</v>
      </c>
      <c r="U241" s="16">
        <v>4</v>
      </c>
    </row>
    <row r="242" spans="1:21" x14ac:dyDescent="0.3">
      <c r="A242" s="13" t="s">
        <v>458</v>
      </c>
      <c r="B242" s="45">
        <v>45383</v>
      </c>
      <c r="C242" s="1" t="s">
        <v>454</v>
      </c>
      <c r="D242" s="41" t="s">
        <v>1374</v>
      </c>
      <c r="E242" s="1">
        <v>2024</v>
      </c>
      <c r="F242" s="1" t="s">
        <v>53</v>
      </c>
      <c r="G242" s="60" t="s">
        <v>23</v>
      </c>
      <c r="H242" s="2" t="s">
        <v>50</v>
      </c>
      <c r="I242" s="2" t="s">
        <v>47</v>
      </c>
      <c r="J242" s="2" t="s">
        <v>179</v>
      </c>
      <c r="K242" s="1">
        <v>16</v>
      </c>
      <c r="L242" s="37">
        <v>434.61</v>
      </c>
      <c r="M242" s="3">
        <v>0</v>
      </c>
      <c r="N242" s="37">
        <v>6953.76</v>
      </c>
      <c r="O242" s="37">
        <v>0</v>
      </c>
      <c r="P242" s="53">
        <v>6953.76</v>
      </c>
      <c r="Q242" s="37">
        <v>3944.56</v>
      </c>
      <c r="R242" s="37">
        <v>3009.2</v>
      </c>
      <c r="S242" s="3">
        <v>43.3</v>
      </c>
      <c r="T242" s="1" t="s">
        <v>44</v>
      </c>
      <c r="U242" s="15">
        <v>5</v>
      </c>
    </row>
    <row r="243" spans="1:21" x14ac:dyDescent="0.3">
      <c r="A243" s="14" t="s">
        <v>459</v>
      </c>
      <c r="B243" s="46">
        <v>45383</v>
      </c>
      <c r="C243" s="4" t="s">
        <v>454</v>
      </c>
      <c r="D243" s="42" t="s">
        <v>1374</v>
      </c>
      <c r="E243" s="4">
        <v>2024</v>
      </c>
      <c r="F243" s="4" t="s">
        <v>41</v>
      </c>
      <c r="G243" s="61" t="s">
        <v>36</v>
      </c>
      <c r="H243" s="5" t="s">
        <v>24</v>
      </c>
      <c r="I243" s="5" t="s">
        <v>55</v>
      </c>
      <c r="J243" s="5" t="s">
        <v>457</v>
      </c>
      <c r="K243" s="4">
        <v>3</v>
      </c>
      <c r="L243" s="38">
        <v>143.41</v>
      </c>
      <c r="M243" s="6">
        <v>0</v>
      </c>
      <c r="N243" s="38">
        <v>430.23</v>
      </c>
      <c r="O243" s="38">
        <v>0</v>
      </c>
      <c r="P243" s="54">
        <v>430.23</v>
      </c>
      <c r="Q243" s="38">
        <v>194.81</v>
      </c>
      <c r="R243" s="38">
        <v>235.42</v>
      </c>
      <c r="S243" s="6">
        <v>54.7</v>
      </c>
      <c r="T243" s="4" t="s">
        <v>44</v>
      </c>
      <c r="U243" s="16">
        <v>2</v>
      </c>
    </row>
    <row r="244" spans="1:21" x14ac:dyDescent="0.3">
      <c r="A244" s="13" t="s">
        <v>460</v>
      </c>
      <c r="B244" s="45">
        <v>45385</v>
      </c>
      <c r="C244" s="1" t="s">
        <v>454</v>
      </c>
      <c r="D244" s="41" t="s">
        <v>1374</v>
      </c>
      <c r="E244" s="1">
        <v>2024</v>
      </c>
      <c r="F244" s="1" t="s">
        <v>35</v>
      </c>
      <c r="G244" s="60" t="s">
        <v>54</v>
      </c>
      <c r="H244" s="2" t="s">
        <v>24</v>
      </c>
      <c r="I244" s="2" t="s">
        <v>47</v>
      </c>
      <c r="J244" s="2" t="s">
        <v>452</v>
      </c>
      <c r="K244" s="1">
        <v>5</v>
      </c>
      <c r="L244" s="37">
        <v>475.3</v>
      </c>
      <c r="M244" s="3">
        <v>15</v>
      </c>
      <c r="N244" s="37">
        <v>2376.5</v>
      </c>
      <c r="O244" s="37">
        <v>356.47</v>
      </c>
      <c r="P244" s="53">
        <v>2020.03</v>
      </c>
      <c r="Q244" s="37">
        <v>981.82</v>
      </c>
      <c r="R244" s="37">
        <v>1038.21</v>
      </c>
      <c r="S244" s="3">
        <v>51.4</v>
      </c>
      <c r="T244" s="1" t="s">
        <v>44</v>
      </c>
      <c r="U244" s="15">
        <v>3</v>
      </c>
    </row>
    <row r="245" spans="1:21" x14ac:dyDescent="0.3">
      <c r="A245" s="14" t="s">
        <v>461</v>
      </c>
      <c r="B245" s="46">
        <v>45385</v>
      </c>
      <c r="C245" s="4" t="s">
        <v>454</v>
      </c>
      <c r="D245" s="42" t="s">
        <v>1374</v>
      </c>
      <c r="E245" s="4">
        <v>2024</v>
      </c>
      <c r="F245" s="4" t="s">
        <v>35</v>
      </c>
      <c r="G245" s="61" t="s">
        <v>122</v>
      </c>
      <c r="H245" s="5" t="s">
        <v>24</v>
      </c>
      <c r="I245" s="5" t="s">
        <v>47</v>
      </c>
      <c r="J245" s="5" t="s">
        <v>379</v>
      </c>
      <c r="K245" s="4">
        <v>19</v>
      </c>
      <c r="L245" s="38">
        <v>390.09</v>
      </c>
      <c r="M245" s="6">
        <v>0</v>
      </c>
      <c r="N245" s="38">
        <v>7411.71</v>
      </c>
      <c r="O245" s="38">
        <v>0</v>
      </c>
      <c r="P245" s="54">
        <v>7411.71</v>
      </c>
      <c r="Q245" s="38">
        <v>3907.3</v>
      </c>
      <c r="R245" s="38">
        <v>3504.41</v>
      </c>
      <c r="S245" s="6">
        <v>47.3</v>
      </c>
      <c r="T245" s="4" t="s">
        <v>44</v>
      </c>
      <c r="U245" s="16">
        <v>4</v>
      </c>
    </row>
    <row r="246" spans="1:21" x14ac:dyDescent="0.3">
      <c r="A246" s="13" t="s">
        <v>462</v>
      </c>
      <c r="B246" s="45">
        <v>45385</v>
      </c>
      <c r="C246" s="1" t="s">
        <v>454</v>
      </c>
      <c r="D246" s="41" t="s">
        <v>1374</v>
      </c>
      <c r="E246" s="1">
        <v>2024</v>
      </c>
      <c r="F246" s="1" t="s">
        <v>35</v>
      </c>
      <c r="G246" s="60" t="s">
        <v>91</v>
      </c>
      <c r="H246" s="2" t="s">
        <v>24</v>
      </c>
      <c r="I246" s="2" t="s">
        <v>47</v>
      </c>
      <c r="J246" s="2" t="s">
        <v>463</v>
      </c>
      <c r="K246" s="1">
        <v>8</v>
      </c>
      <c r="L246" s="37">
        <v>147.03</v>
      </c>
      <c r="M246" s="3">
        <v>0</v>
      </c>
      <c r="N246" s="37">
        <v>1176.24</v>
      </c>
      <c r="O246" s="37">
        <v>0</v>
      </c>
      <c r="P246" s="53">
        <v>1176.24</v>
      </c>
      <c r="Q246" s="37">
        <v>492.78</v>
      </c>
      <c r="R246" s="37">
        <v>683.46</v>
      </c>
      <c r="S246" s="3">
        <v>58.1</v>
      </c>
      <c r="T246" s="1" t="s">
        <v>44</v>
      </c>
      <c r="U246" s="15">
        <v>3</v>
      </c>
    </row>
    <row r="247" spans="1:21" x14ac:dyDescent="0.3">
      <c r="A247" s="14" t="s">
        <v>464</v>
      </c>
      <c r="B247" s="46">
        <v>45386</v>
      </c>
      <c r="C247" s="4" t="s">
        <v>454</v>
      </c>
      <c r="D247" s="42" t="s">
        <v>1374</v>
      </c>
      <c r="E247" s="4">
        <v>2024</v>
      </c>
      <c r="F247" s="4" t="s">
        <v>35</v>
      </c>
      <c r="G247" s="61" t="s">
        <v>36</v>
      </c>
      <c r="H247" s="5" t="s">
        <v>50</v>
      </c>
      <c r="I247" s="5" t="s">
        <v>75</v>
      </c>
      <c r="J247" s="5" t="s">
        <v>207</v>
      </c>
      <c r="K247" s="4">
        <v>17</v>
      </c>
      <c r="L247" s="38">
        <v>104.05</v>
      </c>
      <c r="M247" s="6">
        <v>5</v>
      </c>
      <c r="N247" s="38">
        <v>1768.85</v>
      </c>
      <c r="O247" s="38">
        <v>88.44</v>
      </c>
      <c r="P247" s="54">
        <v>1680.41</v>
      </c>
      <c r="Q247" s="38">
        <v>782.46</v>
      </c>
      <c r="R247" s="38">
        <v>897.95</v>
      </c>
      <c r="S247" s="6">
        <v>53.4</v>
      </c>
      <c r="T247" s="4" t="s">
        <v>44</v>
      </c>
      <c r="U247" s="16">
        <v>2</v>
      </c>
    </row>
    <row r="248" spans="1:21" x14ac:dyDescent="0.3">
      <c r="A248" s="13" t="s">
        <v>465</v>
      </c>
      <c r="B248" s="45">
        <v>45386</v>
      </c>
      <c r="C248" s="1" t="s">
        <v>454</v>
      </c>
      <c r="D248" s="41" t="s">
        <v>1374</v>
      </c>
      <c r="E248" s="1">
        <v>2024</v>
      </c>
      <c r="F248" s="1" t="s">
        <v>22</v>
      </c>
      <c r="G248" s="60" t="s">
        <v>30</v>
      </c>
      <c r="H248" s="2" t="s">
        <v>37</v>
      </c>
      <c r="I248" s="2" t="s">
        <v>31</v>
      </c>
      <c r="J248" s="2" t="s">
        <v>245</v>
      </c>
      <c r="K248" s="1">
        <v>15</v>
      </c>
      <c r="L248" s="37">
        <v>120.85</v>
      </c>
      <c r="M248" s="3">
        <v>0</v>
      </c>
      <c r="N248" s="37">
        <v>1812.75</v>
      </c>
      <c r="O248" s="37">
        <v>0</v>
      </c>
      <c r="P248" s="53">
        <v>1812.75</v>
      </c>
      <c r="Q248" s="37">
        <v>693.51</v>
      </c>
      <c r="R248" s="37">
        <v>1119.24</v>
      </c>
      <c r="S248" s="3">
        <v>61.7</v>
      </c>
      <c r="T248" s="1" t="s">
        <v>44</v>
      </c>
      <c r="U248" s="15">
        <v>1</v>
      </c>
    </row>
    <row r="249" spans="1:21" x14ac:dyDescent="0.3">
      <c r="A249" s="14" t="s">
        <v>466</v>
      </c>
      <c r="B249" s="46">
        <v>45387</v>
      </c>
      <c r="C249" s="4" t="s">
        <v>454</v>
      </c>
      <c r="D249" s="42" t="s">
        <v>1374</v>
      </c>
      <c r="E249" s="4">
        <v>2024</v>
      </c>
      <c r="F249" s="4" t="s">
        <v>41</v>
      </c>
      <c r="G249" s="61" t="s">
        <v>66</v>
      </c>
      <c r="H249" s="5" t="s">
        <v>24</v>
      </c>
      <c r="I249" s="5" t="s">
        <v>31</v>
      </c>
      <c r="J249" s="5" t="s">
        <v>349</v>
      </c>
      <c r="K249" s="4">
        <v>1</v>
      </c>
      <c r="L249" s="38">
        <v>129.35</v>
      </c>
      <c r="M249" s="6">
        <v>0</v>
      </c>
      <c r="N249" s="38">
        <v>129.35</v>
      </c>
      <c r="O249" s="38">
        <v>0</v>
      </c>
      <c r="P249" s="54">
        <v>129.35</v>
      </c>
      <c r="Q249" s="38">
        <v>53.12</v>
      </c>
      <c r="R249" s="38">
        <v>76.23</v>
      </c>
      <c r="S249" s="6">
        <v>58.9</v>
      </c>
      <c r="T249" s="4" t="s">
        <v>33</v>
      </c>
      <c r="U249" s="16">
        <v>3</v>
      </c>
    </row>
    <row r="250" spans="1:21" x14ac:dyDescent="0.3">
      <c r="A250" s="13" t="s">
        <v>467</v>
      </c>
      <c r="B250" s="45">
        <v>45389</v>
      </c>
      <c r="C250" s="1" t="s">
        <v>454</v>
      </c>
      <c r="D250" s="41" t="s">
        <v>1374</v>
      </c>
      <c r="E250" s="1">
        <v>2024</v>
      </c>
      <c r="F250" s="1" t="s">
        <v>41</v>
      </c>
      <c r="G250" s="60" t="s">
        <v>46</v>
      </c>
      <c r="H250" s="2" t="s">
        <v>50</v>
      </c>
      <c r="I250" s="2" t="s">
        <v>25</v>
      </c>
      <c r="J250" s="2" t="s">
        <v>426</v>
      </c>
      <c r="K250" s="1">
        <v>1</v>
      </c>
      <c r="L250" s="37">
        <v>14.24</v>
      </c>
      <c r="M250" s="3">
        <v>20</v>
      </c>
      <c r="N250" s="37">
        <v>14.24</v>
      </c>
      <c r="O250" s="37">
        <v>2.85</v>
      </c>
      <c r="P250" s="53">
        <v>11.39</v>
      </c>
      <c r="Q250" s="37">
        <v>6.92</v>
      </c>
      <c r="R250" s="37">
        <v>4.47</v>
      </c>
      <c r="S250" s="3">
        <v>39.200000000000003</v>
      </c>
      <c r="T250" s="1" t="s">
        <v>33</v>
      </c>
      <c r="U250" s="15">
        <v>4</v>
      </c>
    </row>
    <row r="251" spans="1:21" x14ac:dyDescent="0.3">
      <c r="A251" s="14" t="s">
        <v>468</v>
      </c>
      <c r="B251" s="46">
        <v>45389</v>
      </c>
      <c r="C251" s="4" t="s">
        <v>454</v>
      </c>
      <c r="D251" s="42" t="s">
        <v>1374</v>
      </c>
      <c r="E251" s="4">
        <v>2024</v>
      </c>
      <c r="F251" s="4" t="s">
        <v>22</v>
      </c>
      <c r="G251" s="61" t="s">
        <v>91</v>
      </c>
      <c r="H251" s="5" t="s">
        <v>37</v>
      </c>
      <c r="I251" s="5" t="s">
        <v>75</v>
      </c>
      <c r="J251" s="5" t="s">
        <v>469</v>
      </c>
      <c r="K251" s="4">
        <v>11</v>
      </c>
      <c r="L251" s="38">
        <v>358.37</v>
      </c>
      <c r="M251" s="6">
        <v>20</v>
      </c>
      <c r="N251" s="38">
        <v>3942.07</v>
      </c>
      <c r="O251" s="38">
        <v>788.41</v>
      </c>
      <c r="P251" s="54">
        <v>3153.66</v>
      </c>
      <c r="Q251" s="38">
        <v>1580.95</v>
      </c>
      <c r="R251" s="38">
        <v>1572.71</v>
      </c>
      <c r="S251" s="6">
        <v>49.9</v>
      </c>
      <c r="T251" s="4" t="s">
        <v>44</v>
      </c>
      <c r="U251" s="16">
        <v>5</v>
      </c>
    </row>
    <row r="252" spans="1:21" x14ac:dyDescent="0.3">
      <c r="A252" s="13" t="s">
        <v>470</v>
      </c>
      <c r="B252" s="45">
        <v>45389</v>
      </c>
      <c r="C252" s="1" t="s">
        <v>454</v>
      </c>
      <c r="D252" s="41" t="s">
        <v>1374</v>
      </c>
      <c r="E252" s="1">
        <v>2024</v>
      </c>
      <c r="F252" s="1" t="s">
        <v>53</v>
      </c>
      <c r="G252" s="60" t="s">
        <v>54</v>
      </c>
      <c r="H252" s="2" t="s">
        <v>50</v>
      </c>
      <c r="I252" s="2" t="s">
        <v>25</v>
      </c>
      <c r="J252" s="2" t="s">
        <v>328</v>
      </c>
      <c r="K252" s="1">
        <v>4</v>
      </c>
      <c r="L252" s="37">
        <v>86.38</v>
      </c>
      <c r="M252" s="3">
        <v>0</v>
      </c>
      <c r="N252" s="37">
        <v>345.52</v>
      </c>
      <c r="O252" s="37">
        <v>0</v>
      </c>
      <c r="P252" s="53">
        <v>345.52</v>
      </c>
      <c r="Q252" s="37">
        <v>164.45</v>
      </c>
      <c r="R252" s="37">
        <v>181.07</v>
      </c>
      <c r="S252" s="3">
        <v>52.4</v>
      </c>
      <c r="T252" s="1" t="s">
        <v>44</v>
      </c>
      <c r="U252" s="15">
        <v>1</v>
      </c>
    </row>
    <row r="253" spans="1:21" x14ac:dyDescent="0.3">
      <c r="A253" s="14" t="s">
        <v>471</v>
      </c>
      <c r="B253" s="46">
        <v>45389</v>
      </c>
      <c r="C253" s="4" t="s">
        <v>454</v>
      </c>
      <c r="D253" s="42" t="s">
        <v>1374</v>
      </c>
      <c r="E253" s="4">
        <v>2024</v>
      </c>
      <c r="F253" s="4" t="s">
        <v>41</v>
      </c>
      <c r="G253" s="61" t="s">
        <v>46</v>
      </c>
      <c r="H253" s="5" t="s">
        <v>59</v>
      </c>
      <c r="I253" s="5" t="s">
        <v>38</v>
      </c>
      <c r="J253" s="5" t="s">
        <v>472</v>
      </c>
      <c r="K253" s="4">
        <v>14</v>
      </c>
      <c r="L253" s="38">
        <v>53.14</v>
      </c>
      <c r="M253" s="6">
        <v>10</v>
      </c>
      <c r="N253" s="38">
        <v>743.96</v>
      </c>
      <c r="O253" s="38">
        <v>74.400000000000006</v>
      </c>
      <c r="P253" s="54">
        <v>669.56</v>
      </c>
      <c r="Q253" s="38">
        <v>264.39</v>
      </c>
      <c r="R253" s="38">
        <v>405.17</v>
      </c>
      <c r="S253" s="6">
        <v>60.5</v>
      </c>
      <c r="T253" s="4" t="s">
        <v>44</v>
      </c>
      <c r="U253" s="16">
        <v>5</v>
      </c>
    </row>
    <row r="254" spans="1:21" x14ac:dyDescent="0.3">
      <c r="A254" s="13" t="s">
        <v>473</v>
      </c>
      <c r="B254" s="45">
        <v>45389</v>
      </c>
      <c r="C254" s="1" t="s">
        <v>454</v>
      </c>
      <c r="D254" s="41" t="s">
        <v>1374</v>
      </c>
      <c r="E254" s="1">
        <v>2024</v>
      </c>
      <c r="F254" s="1" t="s">
        <v>29</v>
      </c>
      <c r="G254" s="60" t="s">
        <v>58</v>
      </c>
      <c r="H254" s="2" t="s">
        <v>37</v>
      </c>
      <c r="I254" s="2" t="s">
        <v>31</v>
      </c>
      <c r="J254" s="2" t="s">
        <v>249</v>
      </c>
      <c r="K254" s="1">
        <v>5</v>
      </c>
      <c r="L254" s="37">
        <v>70.89</v>
      </c>
      <c r="M254" s="3">
        <v>20</v>
      </c>
      <c r="N254" s="37">
        <v>354.45</v>
      </c>
      <c r="O254" s="37">
        <v>70.89</v>
      </c>
      <c r="P254" s="53">
        <v>283.56</v>
      </c>
      <c r="Q254" s="37">
        <v>107.44</v>
      </c>
      <c r="R254" s="37">
        <v>176.12</v>
      </c>
      <c r="S254" s="3">
        <v>62.1</v>
      </c>
      <c r="T254" s="1" t="s">
        <v>27</v>
      </c>
      <c r="U254" s="15">
        <v>2</v>
      </c>
    </row>
    <row r="255" spans="1:21" x14ac:dyDescent="0.3">
      <c r="A255" s="14" t="s">
        <v>474</v>
      </c>
      <c r="B255" s="46">
        <v>45390</v>
      </c>
      <c r="C255" s="4" t="s">
        <v>454</v>
      </c>
      <c r="D255" s="42" t="s">
        <v>1374</v>
      </c>
      <c r="E255" s="4">
        <v>2024</v>
      </c>
      <c r="F255" s="4" t="s">
        <v>41</v>
      </c>
      <c r="G255" s="61" t="s">
        <v>58</v>
      </c>
      <c r="H255" s="5" t="s">
        <v>37</v>
      </c>
      <c r="I255" s="5" t="s">
        <v>31</v>
      </c>
      <c r="J255" s="5" t="s">
        <v>475</v>
      </c>
      <c r="K255" s="4">
        <v>16</v>
      </c>
      <c r="L255" s="38">
        <v>60.3</v>
      </c>
      <c r="M255" s="6">
        <v>0</v>
      </c>
      <c r="N255" s="38">
        <v>964.8</v>
      </c>
      <c r="O255" s="38">
        <v>0</v>
      </c>
      <c r="P255" s="54">
        <v>964.8</v>
      </c>
      <c r="Q255" s="38">
        <v>475.42</v>
      </c>
      <c r="R255" s="38">
        <v>489.38</v>
      </c>
      <c r="S255" s="6">
        <v>50.7</v>
      </c>
      <c r="T255" s="4" t="s">
        <v>33</v>
      </c>
      <c r="U255" s="16">
        <v>1</v>
      </c>
    </row>
    <row r="256" spans="1:21" x14ac:dyDescent="0.3">
      <c r="A256" s="13" t="s">
        <v>476</v>
      </c>
      <c r="B256" s="45">
        <v>45390</v>
      </c>
      <c r="C256" s="1" t="s">
        <v>454</v>
      </c>
      <c r="D256" s="41" t="s">
        <v>1374</v>
      </c>
      <c r="E256" s="1">
        <v>2024</v>
      </c>
      <c r="F256" s="1" t="s">
        <v>41</v>
      </c>
      <c r="G256" s="60" t="s">
        <v>66</v>
      </c>
      <c r="H256" s="2" t="s">
        <v>59</v>
      </c>
      <c r="I256" s="2" t="s">
        <v>31</v>
      </c>
      <c r="J256" s="2" t="s">
        <v>477</v>
      </c>
      <c r="K256" s="1">
        <v>3</v>
      </c>
      <c r="L256" s="37">
        <v>164.36</v>
      </c>
      <c r="M256" s="3">
        <v>5</v>
      </c>
      <c r="N256" s="37">
        <v>493.08</v>
      </c>
      <c r="O256" s="37">
        <v>24.65</v>
      </c>
      <c r="P256" s="53">
        <v>468.43</v>
      </c>
      <c r="Q256" s="37">
        <v>250.34</v>
      </c>
      <c r="R256" s="37">
        <v>218.09</v>
      </c>
      <c r="S256" s="3">
        <v>46.6</v>
      </c>
      <c r="T256" s="1" t="s">
        <v>44</v>
      </c>
      <c r="U256" s="15">
        <v>5</v>
      </c>
    </row>
    <row r="257" spans="1:21" x14ac:dyDescent="0.3">
      <c r="A257" s="14" t="s">
        <v>478</v>
      </c>
      <c r="B257" s="46">
        <v>45390</v>
      </c>
      <c r="C257" s="4" t="s">
        <v>454</v>
      </c>
      <c r="D257" s="42" t="s">
        <v>1374</v>
      </c>
      <c r="E257" s="4">
        <v>2024</v>
      </c>
      <c r="F257" s="4" t="s">
        <v>53</v>
      </c>
      <c r="G257" s="61" t="s">
        <v>46</v>
      </c>
      <c r="H257" s="5" t="s">
        <v>37</v>
      </c>
      <c r="I257" s="5" t="s">
        <v>55</v>
      </c>
      <c r="J257" s="5" t="s">
        <v>438</v>
      </c>
      <c r="K257" s="4">
        <v>8</v>
      </c>
      <c r="L257" s="38">
        <v>517.01</v>
      </c>
      <c r="M257" s="6">
        <v>20</v>
      </c>
      <c r="N257" s="38">
        <v>4136.08</v>
      </c>
      <c r="O257" s="38">
        <v>827.22</v>
      </c>
      <c r="P257" s="54">
        <v>3308.86</v>
      </c>
      <c r="Q257" s="38">
        <v>1196.8499999999999</v>
      </c>
      <c r="R257" s="38">
        <v>2112.0100000000002</v>
      </c>
      <c r="S257" s="6">
        <v>63.8</v>
      </c>
      <c r="T257" s="4" t="s">
        <v>33</v>
      </c>
      <c r="U257" s="16">
        <v>4</v>
      </c>
    </row>
    <row r="258" spans="1:21" x14ac:dyDescent="0.3">
      <c r="A258" s="13" t="s">
        <v>479</v>
      </c>
      <c r="B258" s="45">
        <v>45390</v>
      </c>
      <c r="C258" s="1" t="s">
        <v>454</v>
      </c>
      <c r="D258" s="41" t="s">
        <v>1374</v>
      </c>
      <c r="E258" s="1">
        <v>2024</v>
      </c>
      <c r="F258" s="1" t="s">
        <v>22</v>
      </c>
      <c r="G258" s="60" t="s">
        <v>46</v>
      </c>
      <c r="H258" s="2" t="s">
        <v>37</v>
      </c>
      <c r="I258" s="2" t="s">
        <v>25</v>
      </c>
      <c r="J258" s="2" t="s">
        <v>286</v>
      </c>
      <c r="K258" s="1">
        <v>13</v>
      </c>
      <c r="L258" s="37">
        <v>73.5</v>
      </c>
      <c r="M258" s="3">
        <v>20</v>
      </c>
      <c r="N258" s="37">
        <v>955.5</v>
      </c>
      <c r="O258" s="37">
        <v>191.1</v>
      </c>
      <c r="P258" s="53">
        <v>764.4</v>
      </c>
      <c r="Q258" s="37">
        <v>447.3</v>
      </c>
      <c r="R258" s="37">
        <v>317.10000000000002</v>
      </c>
      <c r="S258" s="3">
        <v>41.5</v>
      </c>
      <c r="T258" s="1" t="s">
        <v>33</v>
      </c>
      <c r="U258" s="15">
        <v>4</v>
      </c>
    </row>
    <row r="259" spans="1:21" x14ac:dyDescent="0.3">
      <c r="A259" s="14" t="s">
        <v>480</v>
      </c>
      <c r="B259" s="46">
        <v>45390</v>
      </c>
      <c r="C259" s="4" t="s">
        <v>454</v>
      </c>
      <c r="D259" s="42" t="s">
        <v>1374</v>
      </c>
      <c r="E259" s="4">
        <v>2024</v>
      </c>
      <c r="F259" s="4" t="s">
        <v>53</v>
      </c>
      <c r="G259" s="61" t="s">
        <v>54</v>
      </c>
      <c r="H259" s="5" t="s">
        <v>59</v>
      </c>
      <c r="I259" s="5" t="s">
        <v>75</v>
      </c>
      <c r="J259" s="5" t="s">
        <v>481</v>
      </c>
      <c r="K259" s="4">
        <v>3</v>
      </c>
      <c r="L259" s="38">
        <v>283.23</v>
      </c>
      <c r="M259" s="6">
        <v>20</v>
      </c>
      <c r="N259" s="38">
        <v>849.69</v>
      </c>
      <c r="O259" s="38">
        <v>169.94</v>
      </c>
      <c r="P259" s="54">
        <v>679.75</v>
      </c>
      <c r="Q259" s="38">
        <v>340.55</v>
      </c>
      <c r="R259" s="38">
        <v>339.2</v>
      </c>
      <c r="S259" s="6">
        <v>49.9</v>
      </c>
      <c r="T259" s="4" t="s">
        <v>44</v>
      </c>
      <c r="U259" s="16">
        <v>5</v>
      </c>
    </row>
    <row r="260" spans="1:21" x14ac:dyDescent="0.3">
      <c r="A260" s="13" t="s">
        <v>482</v>
      </c>
      <c r="B260" s="45">
        <v>45390</v>
      </c>
      <c r="C260" s="1" t="s">
        <v>454</v>
      </c>
      <c r="D260" s="41" t="s">
        <v>1374</v>
      </c>
      <c r="E260" s="1">
        <v>2024</v>
      </c>
      <c r="F260" s="1" t="s">
        <v>53</v>
      </c>
      <c r="G260" s="60" t="s">
        <v>23</v>
      </c>
      <c r="H260" s="2" t="s">
        <v>50</v>
      </c>
      <c r="I260" s="2" t="s">
        <v>25</v>
      </c>
      <c r="J260" s="2" t="s">
        <v>123</v>
      </c>
      <c r="K260" s="1">
        <v>4</v>
      </c>
      <c r="L260" s="37">
        <v>32.130000000000003</v>
      </c>
      <c r="M260" s="3">
        <v>0</v>
      </c>
      <c r="N260" s="37">
        <v>128.52000000000001</v>
      </c>
      <c r="O260" s="37">
        <v>0</v>
      </c>
      <c r="P260" s="53">
        <v>128.52000000000001</v>
      </c>
      <c r="Q260" s="37">
        <v>49.51</v>
      </c>
      <c r="R260" s="37">
        <v>79.010000000000005</v>
      </c>
      <c r="S260" s="3">
        <v>61.5</v>
      </c>
      <c r="T260" s="1" t="s">
        <v>33</v>
      </c>
      <c r="U260" s="15">
        <v>1</v>
      </c>
    </row>
    <row r="261" spans="1:21" x14ac:dyDescent="0.3">
      <c r="A261" s="14" t="s">
        <v>483</v>
      </c>
      <c r="B261" s="46">
        <v>45391</v>
      </c>
      <c r="C261" s="4" t="s">
        <v>454</v>
      </c>
      <c r="D261" s="42" t="s">
        <v>1374</v>
      </c>
      <c r="E261" s="4">
        <v>2024</v>
      </c>
      <c r="F261" s="4" t="s">
        <v>22</v>
      </c>
      <c r="G261" s="61" t="s">
        <v>54</v>
      </c>
      <c r="H261" s="5" t="s">
        <v>24</v>
      </c>
      <c r="I261" s="5" t="s">
        <v>38</v>
      </c>
      <c r="J261" s="5" t="s">
        <v>484</v>
      </c>
      <c r="K261" s="4">
        <v>4</v>
      </c>
      <c r="L261" s="38">
        <v>36.17</v>
      </c>
      <c r="M261" s="6">
        <v>0</v>
      </c>
      <c r="N261" s="38">
        <v>144.68</v>
      </c>
      <c r="O261" s="38">
        <v>0</v>
      </c>
      <c r="P261" s="54">
        <v>144.68</v>
      </c>
      <c r="Q261" s="38">
        <v>71.569999999999993</v>
      </c>
      <c r="R261" s="38">
        <v>73.11</v>
      </c>
      <c r="S261" s="6">
        <v>50.5</v>
      </c>
      <c r="T261" s="4" t="s">
        <v>33</v>
      </c>
      <c r="U261" s="16">
        <v>3</v>
      </c>
    </row>
    <row r="262" spans="1:21" x14ac:dyDescent="0.3">
      <c r="A262" s="13" t="s">
        <v>485</v>
      </c>
      <c r="B262" s="45">
        <v>45391</v>
      </c>
      <c r="C262" s="1" t="s">
        <v>454</v>
      </c>
      <c r="D262" s="41" t="s">
        <v>1374</v>
      </c>
      <c r="E262" s="1">
        <v>2024</v>
      </c>
      <c r="F262" s="1" t="s">
        <v>29</v>
      </c>
      <c r="G262" s="60" t="s">
        <v>122</v>
      </c>
      <c r="H262" s="2" t="s">
        <v>37</v>
      </c>
      <c r="I262" s="2" t="s">
        <v>31</v>
      </c>
      <c r="J262" s="2" t="s">
        <v>230</v>
      </c>
      <c r="K262" s="1">
        <v>11</v>
      </c>
      <c r="L262" s="37">
        <v>100.92</v>
      </c>
      <c r="M262" s="3">
        <v>10</v>
      </c>
      <c r="N262" s="37">
        <v>1110.1199999999999</v>
      </c>
      <c r="O262" s="37">
        <v>111.01</v>
      </c>
      <c r="P262" s="53">
        <v>999.11</v>
      </c>
      <c r="Q262" s="37">
        <v>388.75</v>
      </c>
      <c r="R262" s="37">
        <v>610.36</v>
      </c>
      <c r="S262" s="3">
        <v>61.1</v>
      </c>
      <c r="T262" s="1" t="s">
        <v>44</v>
      </c>
      <c r="U262" s="15">
        <v>2</v>
      </c>
    </row>
    <row r="263" spans="1:21" x14ac:dyDescent="0.3">
      <c r="A263" s="14" t="s">
        <v>486</v>
      </c>
      <c r="B263" s="46">
        <v>45392</v>
      </c>
      <c r="C263" s="4" t="s">
        <v>454</v>
      </c>
      <c r="D263" s="42" t="s">
        <v>1374</v>
      </c>
      <c r="E263" s="4">
        <v>2024</v>
      </c>
      <c r="F263" s="4" t="s">
        <v>22</v>
      </c>
      <c r="G263" s="61" t="s">
        <v>46</v>
      </c>
      <c r="H263" s="5" t="s">
        <v>50</v>
      </c>
      <c r="I263" s="5" t="s">
        <v>75</v>
      </c>
      <c r="J263" s="5" t="s">
        <v>137</v>
      </c>
      <c r="K263" s="4">
        <v>12</v>
      </c>
      <c r="L263" s="38">
        <v>152.57</v>
      </c>
      <c r="M263" s="6">
        <v>5</v>
      </c>
      <c r="N263" s="38">
        <v>1830.84</v>
      </c>
      <c r="O263" s="38">
        <v>91.54</v>
      </c>
      <c r="P263" s="54">
        <v>1739.3</v>
      </c>
      <c r="Q263" s="38">
        <v>923.64</v>
      </c>
      <c r="R263" s="38">
        <v>815.66</v>
      </c>
      <c r="S263" s="6">
        <v>46.9</v>
      </c>
      <c r="T263" s="4" t="s">
        <v>27</v>
      </c>
      <c r="U263" s="16">
        <v>2</v>
      </c>
    </row>
    <row r="264" spans="1:21" x14ac:dyDescent="0.3">
      <c r="A264" s="13" t="s">
        <v>487</v>
      </c>
      <c r="B264" s="45">
        <v>45393</v>
      </c>
      <c r="C264" s="1" t="s">
        <v>454</v>
      </c>
      <c r="D264" s="41" t="s">
        <v>1374</v>
      </c>
      <c r="E264" s="1">
        <v>2024</v>
      </c>
      <c r="F264" s="1" t="s">
        <v>53</v>
      </c>
      <c r="G264" s="60" t="s">
        <v>66</v>
      </c>
      <c r="H264" s="2" t="s">
        <v>50</v>
      </c>
      <c r="I264" s="2" t="s">
        <v>25</v>
      </c>
      <c r="J264" s="2" t="s">
        <v>111</v>
      </c>
      <c r="K264" s="1">
        <v>10</v>
      </c>
      <c r="L264" s="37">
        <v>30.11</v>
      </c>
      <c r="M264" s="3">
        <v>15</v>
      </c>
      <c r="N264" s="37">
        <v>301.10000000000002</v>
      </c>
      <c r="O264" s="37">
        <v>45.16</v>
      </c>
      <c r="P264" s="53">
        <v>255.94</v>
      </c>
      <c r="Q264" s="37">
        <v>153.12</v>
      </c>
      <c r="R264" s="37">
        <v>102.82</v>
      </c>
      <c r="S264" s="3">
        <v>40.200000000000003</v>
      </c>
      <c r="T264" s="1" t="s">
        <v>44</v>
      </c>
      <c r="U264" s="15">
        <v>4</v>
      </c>
    </row>
    <row r="265" spans="1:21" x14ac:dyDescent="0.3">
      <c r="A265" s="14" t="s">
        <v>488</v>
      </c>
      <c r="B265" s="46">
        <v>45393</v>
      </c>
      <c r="C265" s="4" t="s">
        <v>454</v>
      </c>
      <c r="D265" s="42" t="s">
        <v>1374</v>
      </c>
      <c r="E265" s="4">
        <v>2024</v>
      </c>
      <c r="F265" s="4" t="s">
        <v>22</v>
      </c>
      <c r="G265" s="61" t="s">
        <v>30</v>
      </c>
      <c r="H265" s="5" t="s">
        <v>59</v>
      </c>
      <c r="I265" s="5" t="s">
        <v>31</v>
      </c>
      <c r="J265" s="5" t="s">
        <v>267</v>
      </c>
      <c r="K265" s="4">
        <v>5</v>
      </c>
      <c r="L265" s="38">
        <v>174.37</v>
      </c>
      <c r="M265" s="6">
        <v>5</v>
      </c>
      <c r="N265" s="38">
        <v>871.85</v>
      </c>
      <c r="O265" s="38">
        <v>43.59</v>
      </c>
      <c r="P265" s="54">
        <v>828.26</v>
      </c>
      <c r="Q265" s="38">
        <v>512.77</v>
      </c>
      <c r="R265" s="38">
        <v>315.49</v>
      </c>
      <c r="S265" s="6">
        <v>38.1</v>
      </c>
      <c r="T265" s="4" t="s">
        <v>44</v>
      </c>
      <c r="U265" s="16">
        <v>1</v>
      </c>
    </row>
    <row r="266" spans="1:21" x14ac:dyDescent="0.3">
      <c r="A266" s="13" t="s">
        <v>489</v>
      </c>
      <c r="B266" s="45">
        <v>45393</v>
      </c>
      <c r="C266" s="1" t="s">
        <v>454</v>
      </c>
      <c r="D266" s="41" t="s">
        <v>1374</v>
      </c>
      <c r="E266" s="1">
        <v>2024</v>
      </c>
      <c r="F266" s="1" t="s">
        <v>41</v>
      </c>
      <c r="G266" s="60" t="s">
        <v>23</v>
      </c>
      <c r="H266" s="2" t="s">
        <v>50</v>
      </c>
      <c r="I266" s="2" t="s">
        <v>31</v>
      </c>
      <c r="J266" s="2" t="s">
        <v>282</v>
      </c>
      <c r="K266" s="1">
        <v>13</v>
      </c>
      <c r="L266" s="37">
        <v>74.069999999999993</v>
      </c>
      <c r="M266" s="3">
        <v>5</v>
      </c>
      <c r="N266" s="37">
        <v>962.91</v>
      </c>
      <c r="O266" s="37">
        <v>48.15</v>
      </c>
      <c r="P266" s="53">
        <v>914.76</v>
      </c>
      <c r="Q266" s="37">
        <v>532.80999999999995</v>
      </c>
      <c r="R266" s="37">
        <v>381.95</v>
      </c>
      <c r="S266" s="3">
        <v>41.8</v>
      </c>
      <c r="T266" s="1" t="s">
        <v>44</v>
      </c>
      <c r="U266" s="15">
        <v>1</v>
      </c>
    </row>
    <row r="267" spans="1:21" x14ac:dyDescent="0.3">
      <c r="A267" s="14" t="s">
        <v>490</v>
      </c>
      <c r="B267" s="46">
        <v>45393</v>
      </c>
      <c r="C267" s="4" t="s">
        <v>454</v>
      </c>
      <c r="D267" s="42" t="s">
        <v>1374</v>
      </c>
      <c r="E267" s="4">
        <v>2024</v>
      </c>
      <c r="F267" s="4" t="s">
        <v>41</v>
      </c>
      <c r="G267" s="61" t="s">
        <v>122</v>
      </c>
      <c r="H267" s="5" t="s">
        <v>59</v>
      </c>
      <c r="I267" s="5" t="s">
        <v>75</v>
      </c>
      <c r="J267" s="5" t="s">
        <v>278</v>
      </c>
      <c r="K267" s="4">
        <v>5</v>
      </c>
      <c r="L267" s="38">
        <v>395.51</v>
      </c>
      <c r="M267" s="6">
        <v>5</v>
      </c>
      <c r="N267" s="38">
        <v>1977.55</v>
      </c>
      <c r="O267" s="38">
        <v>98.88</v>
      </c>
      <c r="P267" s="54">
        <v>1878.67</v>
      </c>
      <c r="Q267" s="38">
        <v>1023.44</v>
      </c>
      <c r="R267" s="38">
        <v>855.23</v>
      </c>
      <c r="S267" s="6">
        <v>45.5</v>
      </c>
      <c r="T267" s="4" t="s">
        <v>27</v>
      </c>
      <c r="U267" s="16">
        <v>2</v>
      </c>
    </row>
    <row r="268" spans="1:21" x14ac:dyDescent="0.3">
      <c r="A268" s="13" t="s">
        <v>491</v>
      </c>
      <c r="B268" s="45">
        <v>45393</v>
      </c>
      <c r="C268" s="1" t="s">
        <v>454</v>
      </c>
      <c r="D268" s="41" t="s">
        <v>1374</v>
      </c>
      <c r="E268" s="1">
        <v>2024</v>
      </c>
      <c r="F268" s="1" t="s">
        <v>29</v>
      </c>
      <c r="G268" s="60" t="s">
        <v>42</v>
      </c>
      <c r="H268" s="2" t="s">
        <v>50</v>
      </c>
      <c r="I268" s="2" t="s">
        <v>38</v>
      </c>
      <c r="J268" s="2" t="s">
        <v>320</v>
      </c>
      <c r="K268" s="1">
        <v>5</v>
      </c>
      <c r="L268" s="37">
        <v>30.9</v>
      </c>
      <c r="M268" s="3">
        <v>5</v>
      </c>
      <c r="N268" s="37">
        <v>154.5</v>
      </c>
      <c r="O268" s="37">
        <v>7.73</v>
      </c>
      <c r="P268" s="53">
        <v>146.77000000000001</v>
      </c>
      <c r="Q268" s="37">
        <v>74.36</v>
      </c>
      <c r="R268" s="37">
        <v>72.41</v>
      </c>
      <c r="S268" s="3">
        <v>49.3</v>
      </c>
      <c r="T268" s="1" t="s">
        <v>33</v>
      </c>
      <c r="U268" s="15">
        <v>2</v>
      </c>
    </row>
    <row r="269" spans="1:21" x14ac:dyDescent="0.3">
      <c r="A269" s="14" t="s">
        <v>492</v>
      </c>
      <c r="B269" s="46">
        <v>45394</v>
      </c>
      <c r="C269" s="4" t="s">
        <v>454</v>
      </c>
      <c r="D269" s="42" t="s">
        <v>1374</v>
      </c>
      <c r="E269" s="4">
        <v>2024</v>
      </c>
      <c r="F269" s="4" t="s">
        <v>29</v>
      </c>
      <c r="G269" s="61" t="s">
        <v>66</v>
      </c>
      <c r="H269" s="5" t="s">
        <v>24</v>
      </c>
      <c r="I269" s="5" t="s">
        <v>47</v>
      </c>
      <c r="J269" s="5" t="s">
        <v>158</v>
      </c>
      <c r="K269" s="4">
        <v>3</v>
      </c>
      <c r="L269" s="38">
        <v>211.38</v>
      </c>
      <c r="M269" s="6">
        <v>5</v>
      </c>
      <c r="N269" s="38">
        <v>634.14</v>
      </c>
      <c r="O269" s="38">
        <v>31.71</v>
      </c>
      <c r="P269" s="54">
        <v>602.42999999999995</v>
      </c>
      <c r="Q269" s="38">
        <v>277.79000000000002</v>
      </c>
      <c r="R269" s="38">
        <v>324.64</v>
      </c>
      <c r="S269" s="6">
        <v>53.9</v>
      </c>
      <c r="T269" s="4" t="s">
        <v>44</v>
      </c>
      <c r="U269" s="16">
        <v>2</v>
      </c>
    </row>
    <row r="270" spans="1:21" x14ac:dyDescent="0.3">
      <c r="A270" s="13" t="s">
        <v>493</v>
      </c>
      <c r="B270" s="45">
        <v>45394</v>
      </c>
      <c r="C270" s="1" t="s">
        <v>454</v>
      </c>
      <c r="D270" s="41" t="s">
        <v>1374</v>
      </c>
      <c r="E270" s="1">
        <v>2024</v>
      </c>
      <c r="F270" s="1" t="s">
        <v>22</v>
      </c>
      <c r="G270" s="60" t="s">
        <v>91</v>
      </c>
      <c r="H270" s="2" t="s">
        <v>50</v>
      </c>
      <c r="I270" s="2" t="s">
        <v>75</v>
      </c>
      <c r="J270" s="2" t="s">
        <v>284</v>
      </c>
      <c r="K270" s="1">
        <v>17</v>
      </c>
      <c r="L270" s="37">
        <v>310.25</v>
      </c>
      <c r="M270" s="3">
        <v>0</v>
      </c>
      <c r="N270" s="37">
        <v>5274.25</v>
      </c>
      <c r="O270" s="37">
        <v>0</v>
      </c>
      <c r="P270" s="53">
        <v>5274.25</v>
      </c>
      <c r="Q270" s="37">
        <v>1914.72</v>
      </c>
      <c r="R270" s="37">
        <v>3359.53</v>
      </c>
      <c r="S270" s="3">
        <v>63.7</v>
      </c>
      <c r="T270" s="1" t="s">
        <v>44</v>
      </c>
      <c r="U270" s="15">
        <v>2</v>
      </c>
    </row>
    <row r="271" spans="1:21" x14ac:dyDescent="0.3">
      <c r="A271" s="14" t="s">
        <v>494</v>
      </c>
      <c r="B271" s="46">
        <v>45394</v>
      </c>
      <c r="C271" s="4" t="s">
        <v>454</v>
      </c>
      <c r="D271" s="42" t="s">
        <v>1374</v>
      </c>
      <c r="E271" s="4">
        <v>2024</v>
      </c>
      <c r="F271" s="4" t="s">
        <v>22</v>
      </c>
      <c r="G271" s="61" t="s">
        <v>23</v>
      </c>
      <c r="H271" s="5" t="s">
        <v>50</v>
      </c>
      <c r="I271" s="5" t="s">
        <v>47</v>
      </c>
      <c r="J271" s="5" t="s">
        <v>495</v>
      </c>
      <c r="K271" s="4">
        <v>19</v>
      </c>
      <c r="L271" s="38">
        <v>267.19</v>
      </c>
      <c r="M271" s="6">
        <v>0</v>
      </c>
      <c r="N271" s="38">
        <v>5076.6099999999997</v>
      </c>
      <c r="O271" s="38">
        <v>0</v>
      </c>
      <c r="P271" s="54">
        <v>5076.6099999999997</v>
      </c>
      <c r="Q271" s="38">
        <v>2583.7199999999998</v>
      </c>
      <c r="R271" s="38">
        <v>2492.89</v>
      </c>
      <c r="S271" s="6">
        <v>49.1</v>
      </c>
      <c r="T271" s="4" t="s">
        <v>44</v>
      </c>
      <c r="U271" s="16">
        <v>5</v>
      </c>
    </row>
    <row r="272" spans="1:21" x14ac:dyDescent="0.3">
      <c r="A272" s="13" t="s">
        <v>496</v>
      </c>
      <c r="B272" s="45">
        <v>45396</v>
      </c>
      <c r="C272" s="1" t="s">
        <v>454</v>
      </c>
      <c r="D272" s="41" t="s">
        <v>1374</v>
      </c>
      <c r="E272" s="1">
        <v>2024</v>
      </c>
      <c r="F272" s="1" t="s">
        <v>22</v>
      </c>
      <c r="G272" s="60" t="s">
        <v>91</v>
      </c>
      <c r="H272" s="2" t="s">
        <v>50</v>
      </c>
      <c r="I272" s="2" t="s">
        <v>38</v>
      </c>
      <c r="J272" s="2" t="s">
        <v>298</v>
      </c>
      <c r="K272" s="1">
        <v>1</v>
      </c>
      <c r="L272" s="37">
        <v>12.96</v>
      </c>
      <c r="M272" s="3">
        <v>10</v>
      </c>
      <c r="N272" s="37">
        <v>12.96</v>
      </c>
      <c r="O272" s="37">
        <v>1.3</v>
      </c>
      <c r="P272" s="53">
        <v>11.66</v>
      </c>
      <c r="Q272" s="37">
        <v>4.88</v>
      </c>
      <c r="R272" s="37">
        <v>6.78</v>
      </c>
      <c r="S272" s="3">
        <v>58.1</v>
      </c>
      <c r="T272" s="1" t="s">
        <v>27</v>
      </c>
      <c r="U272" s="15">
        <v>5</v>
      </c>
    </row>
    <row r="273" spans="1:21" x14ac:dyDescent="0.3">
      <c r="A273" s="14" t="s">
        <v>497</v>
      </c>
      <c r="B273" s="46">
        <v>45396</v>
      </c>
      <c r="C273" s="4" t="s">
        <v>454</v>
      </c>
      <c r="D273" s="42" t="s">
        <v>1374</v>
      </c>
      <c r="E273" s="4">
        <v>2024</v>
      </c>
      <c r="F273" s="4" t="s">
        <v>35</v>
      </c>
      <c r="G273" s="61" t="s">
        <v>58</v>
      </c>
      <c r="H273" s="5" t="s">
        <v>59</v>
      </c>
      <c r="I273" s="5" t="s">
        <v>55</v>
      </c>
      <c r="J273" s="5" t="s">
        <v>197</v>
      </c>
      <c r="K273" s="4">
        <v>20</v>
      </c>
      <c r="L273" s="38">
        <v>328</v>
      </c>
      <c r="M273" s="6">
        <v>0</v>
      </c>
      <c r="N273" s="38">
        <v>6560</v>
      </c>
      <c r="O273" s="38">
        <v>0</v>
      </c>
      <c r="P273" s="54">
        <v>6560</v>
      </c>
      <c r="Q273" s="38">
        <v>3874.93</v>
      </c>
      <c r="R273" s="38">
        <v>2685.07</v>
      </c>
      <c r="S273" s="6">
        <v>40.9</v>
      </c>
      <c r="T273" s="4" t="s">
        <v>44</v>
      </c>
      <c r="U273" s="16">
        <v>5</v>
      </c>
    </row>
    <row r="274" spans="1:21" x14ac:dyDescent="0.3">
      <c r="A274" s="13" t="s">
        <v>498</v>
      </c>
      <c r="B274" s="45">
        <v>45397</v>
      </c>
      <c r="C274" s="1" t="s">
        <v>454</v>
      </c>
      <c r="D274" s="41" t="s">
        <v>1374</v>
      </c>
      <c r="E274" s="1">
        <v>2024</v>
      </c>
      <c r="F274" s="1" t="s">
        <v>53</v>
      </c>
      <c r="G274" s="60" t="s">
        <v>42</v>
      </c>
      <c r="H274" s="2" t="s">
        <v>37</v>
      </c>
      <c r="I274" s="2" t="s">
        <v>75</v>
      </c>
      <c r="J274" s="2" t="s">
        <v>499</v>
      </c>
      <c r="K274" s="1">
        <v>6</v>
      </c>
      <c r="L274" s="37">
        <v>70.95</v>
      </c>
      <c r="M274" s="3">
        <v>15</v>
      </c>
      <c r="N274" s="37">
        <v>425.7</v>
      </c>
      <c r="O274" s="37">
        <v>63.85</v>
      </c>
      <c r="P274" s="53">
        <v>361.85</v>
      </c>
      <c r="Q274" s="37">
        <v>212.36</v>
      </c>
      <c r="R274" s="37">
        <v>149.49</v>
      </c>
      <c r="S274" s="3">
        <v>41.3</v>
      </c>
      <c r="T274" s="1" t="s">
        <v>44</v>
      </c>
      <c r="U274" s="15">
        <v>5</v>
      </c>
    </row>
    <row r="275" spans="1:21" x14ac:dyDescent="0.3">
      <c r="A275" s="14" t="s">
        <v>500</v>
      </c>
      <c r="B275" s="46">
        <v>45398</v>
      </c>
      <c r="C275" s="4" t="s">
        <v>454</v>
      </c>
      <c r="D275" s="42" t="s">
        <v>1374</v>
      </c>
      <c r="E275" s="4">
        <v>2024</v>
      </c>
      <c r="F275" s="4" t="s">
        <v>53</v>
      </c>
      <c r="G275" s="61" t="s">
        <v>58</v>
      </c>
      <c r="H275" s="5" t="s">
        <v>59</v>
      </c>
      <c r="I275" s="5" t="s">
        <v>47</v>
      </c>
      <c r="J275" s="5" t="s">
        <v>73</v>
      </c>
      <c r="K275" s="4">
        <v>15</v>
      </c>
      <c r="L275" s="38">
        <v>235.81</v>
      </c>
      <c r="M275" s="6">
        <v>0</v>
      </c>
      <c r="N275" s="38">
        <v>3537.15</v>
      </c>
      <c r="O275" s="38">
        <v>0</v>
      </c>
      <c r="P275" s="54">
        <v>3537.15</v>
      </c>
      <c r="Q275" s="38">
        <v>1642.55</v>
      </c>
      <c r="R275" s="38">
        <v>1894.6</v>
      </c>
      <c r="S275" s="6">
        <v>53.6</v>
      </c>
      <c r="T275" s="4" t="s">
        <v>33</v>
      </c>
      <c r="U275" s="16">
        <v>3</v>
      </c>
    </row>
    <row r="276" spans="1:21" x14ac:dyDescent="0.3">
      <c r="A276" s="13" t="s">
        <v>501</v>
      </c>
      <c r="B276" s="45">
        <v>45399</v>
      </c>
      <c r="C276" s="1" t="s">
        <v>454</v>
      </c>
      <c r="D276" s="41" t="s">
        <v>1374</v>
      </c>
      <c r="E276" s="1">
        <v>2024</v>
      </c>
      <c r="F276" s="1" t="s">
        <v>29</v>
      </c>
      <c r="G276" s="60" t="s">
        <v>36</v>
      </c>
      <c r="H276" s="2" t="s">
        <v>24</v>
      </c>
      <c r="I276" s="2" t="s">
        <v>38</v>
      </c>
      <c r="J276" s="2" t="s">
        <v>140</v>
      </c>
      <c r="K276" s="1">
        <v>12</v>
      </c>
      <c r="L276" s="37">
        <v>15.57</v>
      </c>
      <c r="M276" s="3">
        <v>0</v>
      </c>
      <c r="N276" s="37">
        <v>186.84</v>
      </c>
      <c r="O276" s="37">
        <v>0</v>
      </c>
      <c r="P276" s="53">
        <v>186.84</v>
      </c>
      <c r="Q276" s="37">
        <v>98.41</v>
      </c>
      <c r="R276" s="37">
        <v>88.43</v>
      </c>
      <c r="S276" s="3">
        <v>47.3</v>
      </c>
      <c r="T276" s="1" t="s">
        <v>44</v>
      </c>
      <c r="U276" s="15">
        <v>4</v>
      </c>
    </row>
    <row r="277" spans="1:21" x14ac:dyDescent="0.3">
      <c r="A277" s="14" t="s">
        <v>502</v>
      </c>
      <c r="B277" s="46">
        <v>45399</v>
      </c>
      <c r="C277" s="4" t="s">
        <v>454</v>
      </c>
      <c r="D277" s="42" t="s">
        <v>1374</v>
      </c>
      <c r="E277" s="4">
        <v>2024</v>
      </c>
      <c r="F277" s="4" t="s">
        <v>41</v>
      </c>
      <c r="G277" s="61" t="s">
        <v>30</v>
      </c>
      <c r="H277" s="5" t="s">
        <v>59</v>
      </c>
      <c r="I277" s="5" t="s">
        <v>25</v>
      </c>
      <c r="J277" s="5" t="s">
        <v>503</v>
      </c>
      <c r="K277" s="4">
        <v>7</v>
      </c>
      <c r="L277" s="38">
        <v>17.079999999999998</v>
      </c>
      <c r="M277" s="6">
        <v>0</v>
      </c>
      <c r="N277" s="38">
        <v>119.56</v>
      </c>
      <c r="O277" s="38">
        <v>0</v>
      </c>
      <c r="P277" s="54">
        <v>119.56</v>
      </c>
      <c r="Q277" s="38">
        <v>68.44</v>
      </c>
      <c r="R277" s="38">
        <v>51.12</v>
      </c>
      <c r="S277" s="6">
        <v>42.8</v>
      </c>
      <c r="T277" s="4" t="s">
        <v>27</v>
      </c>
      <c r="U277" s="16">
        <v>2</v>
      </c>
    </row>
    <row r="278" spans="1:21" x14ac:dyDescent="0.3">
      <c r="A278" s="13" t="s">
        <v>504</v>
      </c>
      <c r="B278" s="45">
        <v>45399</v>
      </c>
      <c r="C278" s="1" t="s">
        <v>454</v>
      </c>
      <c r="D278" s="41" t="s">
        <v>1374</v>
      </c>
      <c r="E278" s="1">
        <v>2024</v>
      </c>
      <c r="F278" s="1" t="s">
        <v>41</v>
      </c>
      <c r="G278" s="60" t="s">
        <v>58</v>
      </c>
      <c r="H278" s="2" t="s">
        <v>37</v>
      </c>
      <c r="I278" s="2" t="s">
        <v>31</v>
      </c>
      <c r="J278" s="2" t="s">
        <v>505</v>
      </c>
      <c r="K278" s="1">
        <v>5</v>
      </c>
      <c r="L278" s="37">
        <v>189.9</v>
      </c>
      <c r="M278" s="3">
        <v>20</v>
      </c>
      <c r="N278" s="37">
        <v>949.5</v>
      </c>
      <c r="O278" s="37">
        <v>189.9</v>
      </c>
      <c r="P278" s="53">
        <v>759.6</v>
      </c>
      <c r="Q278" s="37">
        <v>439.4</v>
      </c>
      <c r="R278" s="37">
        <v>320.2</v>
      </c>
      <c r="S278" s="3">
        <v>42.2</v>
      </c>
      <c r="T278" s="1" t="s">
        <v>44</v>
      </c>
      <c r="U278" s="15">
        <v>3</v>
      </c>
    </row>
    <row r="279" spans="1:21" x14ac:dyDescent="0.3">
      <c r="A279" s="14" t="s">
        <v>506</v>
      </c>
      <c r="B279" s="46">
        <v>45399</v>
      </c>
      <c r="C279" s="4" t="s">
        <v>454</v>
      </c>
      <c r="D279" s="42" t="s">
        <v>1374</v>
      </c>
      <c r="E279" s="4">
        <v>2024</v>
      </c>
      <c r="F279" s="4" t="s">
        <v>41</v>
      </c>
      <c r="G279" s="61" t="s">
        <v>122</v>
      </c>
      <c r="H279" s="5" t="s">
        <v>24</v>
      </c>
      <c r="I279" s="5" t="s">
        <v>55</v>
      </c>
      <c r="J279" s="5" t="s">
        <v>507</v>
      </c>
      <c r="K279" s="4">
        <v>14</v>
      </c>
      <c r="L279" s="38">
        <v>1043.79</v>
      </c>
      <c r="M279" s="6">
        <v>20</v>
      </c>
      <c r="N279" s="38">
        <v>14613.06</v>
      </c>
      <c r="O279" s="38">
        <v>2922.61</v>
      </c>
      <c r="P279" s="54">
        <v>11690.45</v>
      </c>
      <c r="Q279" s="38">
        <v>6535.11</v>
      </c>
      <c r="R279" s="38">
        <v>5155.34</v>
      </c>
      <c r="S279" s="6">
        <v>44.1</v>
      </c>
      <c r="T279" s="4" t="s">
        <v>33</v>
      </c>
      <c r="U279" s="16">
        <v>3</v>
      </c>
    </row>
    <row r="280" spans="1:21" x14ac:dyDescent="0.3">
      <c r="A280" s="13" t="s">
        <v>508</v>
      </c>
      <c r="B280" s="45">
        <v>45400</v>
      </c>
      <c r="C280" s="1" t="s">
        <v>454</v>
      </c>
      <c r="D280" s="41" t="s">
        <v>1374</v>
      </c>
      <c r="E280" s="1">
        <v>2024</v>
      </c>
      <c r="F280" s="1" t="s">
        <v>41</v>
      </c>
      <c r="G280" s="60" t="s">
        <v>66</v>
      </c>
      <c r="H280" s="2" t="s">
        <v>37</v>
      </c>
      <c r="I280" s="2" t="s">
        <v>75</v>
      </c>
      <c r="J280" s="2" t="s">
        <v>509</v>
      </c>
      <c r="K280" s="1">
        <v>20</v>
      </c>
      <c r="L280" s="37">
        <v>181.8</v>
      </c>
      <c r="M280" s="3">
        <v>10</v>
      </c>
      <c r="N280" s="37">
        <v>3636</v>
      </c>
      <c r="O280" s="37">
        <v>363.6</v>
      </c>
      <c r="P280" s="53">
        <v>3272.4</v>
      </c>
      <c r="Q280" s="37">
        <v>1241.27</v>
      </c>
      <c r="R280" s="37">
        <v>2031.13</v>
      </c>
      <c r="S280" s="3">
        <v>62.1</v>
      </c>
      <c r="T280" s="1" t="s">
        <v>33</v>
      </c>
      <c r="U280" s="15">
        <v>3</v>
      </c>
    </row>
    <row r="281" spans="1:21" x14ac:dyDescent="0.3">
      <c r="A281" s="14" t="s">
        <v>510</v>
      </c>
      <c r="B281" s="46">
        <v>45400</v>
      </c>
      <c r="C281" s="4" t="s">
        <v>454</v>
      </c>
      <c r="D281" s="42" t="s">
        <v>1374</v>
      </c>
      <c r="E281" s="4">
        <v>2024</v>
      </c>
      <c r="F281" s="4" t="s">
        <v>53</v>
      </c>
      <c r="G281" s="61" t="s">
        <v>42</v>
      </c>
      <c r="H281" s="5" t="s">
        <v>37</v>
      </c>
      <c r="I281" s="5" t="s">
        <v>47</v>
      </c>
      <c r="J281" s="5" t="s">
        <v>511</v>
      </c>
      <c r="K281" s="4">
        <v>15</v>
      </c>
      <c r="L281" s="38">
        <v>482.09</v>
      </c>
      <c r="M281" s="6">
        <v>0</v>
      </c>
      <c r="N281" s="38">
        <v>7231.35</v>
      </c>
      <c r="O281" s="38">
        <v>0</v>
      </c>
      <c r="P281" s="54">
        <v>7231.35</v>
      </c>
      <c r="Q281" s="38">
        <v>2821.42</v>
      </c>
      <c r="R281" s="38">
        <v>4409.93</v>
      </c>
      <c r="S281" s="6">
        <v>61</v>
      </c>
      <c r="T281" s="4" t="s">
        <v>44</v>
      </c>
      <c r="U281" s="16">
        <v>5</v>
      </c>
    </row>
    <row r="282" spans="1:21" x14ac:dyDescent="0.3">
      <c r="A282" s="13" t="s">
        <v>512</v>
      </c>
      <c r="B282" s="45">
        <v>45400</v>
      </c>
      <c r="C282" s="1" t="s">
        <v>454</v>
      </c>
      <c r="D282" s="41" t="s">
        <v>1374</v>
      </c>
      <c r="E282" s="1">
        <v>2024</v>
      </c>
      <c r="F282" s="1" t="s">
        <v>35</v>
      </c>
      <c r="G282" s="60" t="s">
        <v>122</v>
      </c>
      <c r="H282" s="2" t="s">
        <v>24</v>
      </c>
      <c r="I282" s="2" t="s">
        <v>25</v>
      </c>
      <c r="J282" s="2" t="s">
        <v>513</v>
      </c>
      <c r="K282" s="1">
        <v>7</v>
      </c>
      <c r="L282" s="37">
        <v>136.32</v>
      </c>
      <c r="M282" s="3">
        <v>0</v>
      </c>
      <c r="N282" s="37">
        <v>954.24</v>
      </c>
      <c r="O282" s="37">
        <v>0</v>
      </c>
      <c r="P282" s="53">
        <v>954.24</v>
      </c>
      <c r="Q282" s="37">
        <v>470.58</v>
      </c>
      <c r="R282" s="37">
        <v>483.66</v>
      </c>
      <c r="S282" s="3">
        <v>50.7</v>
      </c>
      <c r="T282" s="1" t="s">
        <v>44</v>
      </c>
      <c r="U282" s="15">
        <v>4</v>
      </c>
    </row>
    <row r="283" spans="1:21" x14ac:dyDescent="0.3">
      <c r="A283" s="14" t="s">
        <v>514</v>
      </c>
      <c r="B283" s="46">
        <v>45400</v>
      </c>
      <c r="C283" s="4" t="s">
        <v>454</v>
      </c>
      <c r="D283" s="42" t="s">
        <v>1374</v>
      </c>
      <c r="E283" s="4">
        <v>2024</v>
      </c>
      <c r="F283" s="4" t="s">
        <v>41</v>
      </c>
      <c r="G283" s="61" t="s">
        <v>66</v>
      </c>
      <c r="H283" s="5" t="s">
        <v>37</v>
      </c>
      <c r="I283" s="5" t="s">
        <v>47</v>
      </c>
      <c r="J283" s="5" t="s">
        <v>515</v>
      </c>
      <c r="K283" s="4">
        <v>3</v>
      </c>
      <c r="L283" s="38">
        <v>410.47</v>
      </c>
      <c r="M283" s="6">
        <v>15</v>
      </c>
      <c r="N283" s="38">
        <v>1231.4100000000001</v>
      </c>
      <c r="O283" s="38">
        <v>184.71</v>
      </c>
      <c r="P283" s="54">
        <v>1046.7</v>
      </c>
      <c r="Q283" s="38">
        <v>439.36</v>
      </c>
      <c r="R283" s="38">
        <v>607.34</v>
      </c>
      <c r="S283" s="6">
        <v>58</v>
      </c>
      <c r="T283" s="4" t="s">
        <v>44</v>
      </c>
      <c r="U283" s="16">
        <v>1</v>
      </c>
    </row>
    <row r="284" spans="1:21" x14ac:dyDescent="0.3">
      <c r="A284" s="13" t="s">
        <v>516</v>
      </c>
      <c r="B284" s="45">
        <v>45400</v>
      </c>
      <c r="C284" s="1" t="s">
        <v>454</v>
      </c>
      <c r="D284" s="41" t="s">
        <v>1374</v>
      </c>
      <c r="E284" s="1">
        <v>2024</v>
      </c>
      <c r="F284" s="1" t="s">
        <v>29</v>
      </c>
      <c r="G284" s="60" t="s">
        <v>30</v>
      </c>
      <c r="H284" s="2" t="s">
        <v>59</v>
      </c>
      <c r="I284" s="2" t="s">
        <v>38</v>
      </c>
      <c r="J284" s="2" t="s">
        <v>443</v>
      </c>
      <c r="K284" s="1">
        <v>4</v>
      </c>
      <c r="L284" s="37">
        <v>75.03</v>
      </c>
      <c r="M284" s="3">
        <v>0</v>
      </c>
      <c r="N284" s="37">
        <v>300.12</v>
      </c>
      <c r="O284" s="37">
        <v>0</v>
      </c>
      <c r="P284" s="53">
        <v>300.12</v>
      </c>
      <c r="Q284" s="37">
        <v>182.39</v>
      </c>
      <c r="R284" s="37">
        <v>117.73</v>
      </c>
      <c r="S284" s="3">
        <v>39.200000000000003</v>
      </c>
      <c r="T284" s="1" t="s">
        <v>44</v>
      </c>
      <c r="U284" s="15">
        <v>4</v>
      </c>
    </row>
    <row r="285" spans="1:21" x14ac:dyDescent="0.3">
      <c r="A285" s="14" t="s">
        <v>517</v>
      </c>
      <c r="B285" s="46">
        <v>45400</v>
      </c>
      <c r="C285" s="4" t="s">
        <v>454</v>
      </c>
      <c r="D285" s="42" t="s">
        <v>1374</v>
      </c>
      <c r="E285" s="4">
        <v>2024</v>
      </c>
      <c r="F285" s="4" t="s">
        <v>22</v>
      </c>
      <c r="G285" s="61" t="s">
        <v>23</v>
      </c>
      <c r="H285" s="5" t="s">
        <v>37</v>
      </c>
      <c r="I285" s="5" t="s">
        <v>75</v>
      </c>
      <c r="J285" s="5" t="s">
        <v>518</v>
      </c>
      <c r="K285" s="4">
        <v>5</v>
      </c>
      <c r="L285" s="38">
        <v>295.42</v>
      </c>
      <c r="M285" s="6">
        <v>15</v>
      </c>
      <c r="N285" s="38">
        <v>1477.1</v>
      </c>
      <c r="O285" s="38">
        <v>221.56</v>
      </c>
      <c r="P285" s="54">
        <v>1255.54</v>
      </c>
      <c r="Q285" s="38">
        <v>546.13</v>
      </c>
      <c r="R285" s="38">
        <v>709.41</v>
      </c>
      <c r="S285" s="6">
        <v>56.5</v>
      </c>
      <c r="T285" s="4" t="s">
        <v>44</v>
      </c>
      <c r="U285" s="16">
        <v>2</v>
      </c>
    </row>
    <row r="286" spans="1:21" x14ac:dyDescent="0.3">
      <c r="A286" s="13" t="s">
        <v>519</v>
      </c>
      <c r="B286" s="45">
        <v>45401</v>
      </c>
      <c r="C286" s="1" t="s">
        <v>454</v>
      </c>
      <c r="D286" s="41" t="s">
        <v>1374</v>
      </c>
      <c r="E286" s="1">
        <v>2024</v>
      </c>
      <c r="F286" s="1" t="s">
        <v>22</v>
      </c>
      <c r="G286" s="60" t="s">
        <v>122</v>
      </c>
      <c r="H286" s="2" t="s">
        <v>50</v>
      </c>
      <c r="I286" s="2" t="s">
        <v>38</v>
      </c>
      <c r="J286" s="2" t="s">
        <v>520</v>
      </c>
      <c r="K286" s="1">
        <v>4</v>
      </c>
      <c r="L286" s="37">
        <v>19.239999999999998</v>
      </c>
      <c r="M286" s="3">
        <v>15</v>
      </c>
      <c r="N286" s="37">
        <v>76.959999999999994</v>
      </c>
      <c r="O286" s="37">
        <v>11.54</v>
      </c>
      <c r="P286" s="53">
        <v>65.42</v>
      </c>
      <c r="Q286" s="37">
        <v>40.1</v>
      </c>
      <c r="R286" s="37">
        <v>25.32</v>
      </c>
      <c r="S286" s="3">
        <v>38.700000000000003</v>
      </c>
      <c r="T286" s="1" t="s">
        <v>44</v>
      </c>
      <c r="U286" s="15">
        <v>2</v>
      </c>
    </row>
    <row r="287" spans="1:21" x14ac:dyDescent="0.3">
      <c r="A287" s="14" t="s">
        <v>521</v>
      </c>
      <c r="B287" s="46">
        <v>45401</v>
      </c>
      <c r="C287" s="4" t="s">
        <v>454</v>
      </c>
      <c r="D287" s="42" t="s">
        <v>1374</v>
      </c>
      <c r="E287" s="4">
        <v>2024</v>
      </c>
      <c r="F287" s="4" t="s">
        <v>29</v>
      </c>
      <c r="G287" s="61" t="s">
        <v>46</v>
      </c>
      <c r="H287" s="5" t="s">
        <v>59</v>
      </c>
      <c r="I287" s="5" t="s">
        <v>47</v>
      </c>
      <c r="J287" s="5" t="s">
        <v>522</v>
      </c>
      <c r="K287" s="4">
        <v>19</v>
      </c>
      <c r="L287" s="38">
        <v>96.48</v>
      </c>
      <c r="M287" s="6">
        <v>0</v>
      </c>
      <c r="N287" s="38">
        <v>1833.12</v>
      </c>
      <c r="O287" s="38">
        <v>0</v>
      </c>
      <c r="P287" s="54">
        <v>1833.12</v>
      </c>
      <c r="Q287" s="38">
        <v>866.32</v>
      </c>
      <c r="R287" s="38">
        <v>966.8</v>
      </c>
      <c r="S287" s="6">
        <v>52.7</v>
      </c>
      <c r="T287" s="4" t="s">
        <v>44</v>
      </c>
      <c r="U287" s="16">
        <v>5</v>
      </c>
    </row>
    <row r="288" spans="1:21" x14ac:dyDescent="0.3">
      <c r="A288" s="13" t="s">
        <v>523</v>
      </c>
      <c r="B288" s="45">
        <v>45401</v>
      </c>
      <c r="C288" s="1" t="s">
        <v>454</v>
      </c>
      <c r="D288" s="41" t="s">
        <v>1374</v>
      </c>
      <c r="E288" s="1">
        <v>2024</v>
      </c>
      <c r="F288" s="1" t="s">
        <v>29</v>
      </c>
      <c r="G288" s="60" t="s">
        <v>58</v>
      </c>
      <c r="H288" s="2" t="s">
        <v>37</v>
      </c>
      <c r="I288" s="2" t="s">
        <v>75</v>
      </c>
      <c r="J288" s="2" t="s">
        <v>149</v>
      </c>
      <c r="K288" s="1">
        <v>13</v>
      </c>
      <c r="L288" s="37">
        <v>398.49</v>
      </c>
      <c r="M288" s="3">
        <v>0</v>
      </c>
      <c r="N288" s="37">
        <v>5180.37</v>
      </c>
      <c r="O288" s="37">
        <v>0</v>
      </c>
      <c r="P288" s="53">
        <v>5180.37</v>
      </c>
      <c r="Q288" s="37">
        <v>2106.89</v>
      </c>
      <c r="R288" s="37">
        <v>3073.48</v>
      </c>
      <c r="S288" s="3">
        <v>59.3</v>
      </c>
      <c r="T288" s="1" t="s">
        <v>27</v>
      </c>
      <c r="U288" s="15">
        <v>5</v>
      </c>
    </row>
    <row r="289" spans="1:21" x14ac:dyDescent="0.3">
      <c r="A289" s="14" t="s">
        <v>524</v>
      </c>
      <c r="B289" s="46">
        <v>45401</v>
      </c>
      <c r="C289" s="4" t="s">
        <v>454</v>
      </c>
      <c r="D289" s="42" t="s">
        <v>1374</v>
      </c>
      <c r="E289" s="4">
        <v>2024</v>
      </c>
      <c r="F289" s="4" t="s">
        <v>29</v>
      </c>
      <c r="G289" s="61" t="s">
        <v>66</v>
      </c>
      <c r="H289" s="5" t="s">
        <v>50</v>
      </c>
      <c r="I289" s="5" t="s">
        <v>47</v>
      </c>
      <c r="J289" s="5" t="s">
        <v>525</v>
      </c>
      <c r="K289" s="4">
        <v>12</v>
      </c>
      <c r="L289" s="38">
        <v>244.07</v>
      </c>
      <c r="M289" s="6">
        <v>15</v>
      </c>
      <c r="N289" s="38">
        <v>2928.84</v>
      </c>
      <c r="O289" s="38">
        <v>439.33</v>
      </c>
      <c r="P289" s="54">
        <v>2489.5100000000002</v>
      </c>
      <c r="Q289" s="38">
        <v>1400.96</v>
      </c>
      <c r="R289" s="38">
        <v>1088.55</v>
      </c>
      <c r="S289" s="6">
        <v>43.7</v>
      </c>
      <c r="T289" s="4" t="s">
        <v>44</v>
      </c>
      <c r="U289" s="16">
        <v>1</v>
      </c>
    </row>
    <row r="290" spans="1:21" x14ac:dyDescent="0.3">
      <c r="A290" s="13" t="s">
        <v>526</v>
      </c>
      <c r="B290" s="45">
        <v>45401</v>
      </c>
      <c r="C290" s="1" t="s">
        <v>454</v>
      </c>
      <c r="D290" s="41" t="s">
        <v>1374</v>
      </c>
      <c r="E290" s="1">
        <v>2024</v>
      </c>
      <c r="F290" s="1" t="s">
        <v>35</v>
      </c>
      <c r="G290" s="60" t="s">
        <v>122</v>
      </c>
      <c r="H290" s="2" t="s">
        <v>59</v>
      </c>
      <c r="I290" s="2" t="s">
        <v>31</v>
      </c>
      <c r="J290" s="2" t="s">
        <v>324</v>
      </c>
      <c r="K290" s="1">
        <v>14</v>
      </c>
      <c r="L290" s="37">
        <v>177.63</v>
      </c>
      <c r="M290" s="3">
        <v>0</v>
      </c>
      <c r="N290" s="37">
        <v>2486.8200000000002</v>
      </c>
      <c r="O290" s="37">
        <v>0</v>
      </c>
      <c r="P290" s="53">
        <v>2486.8200000000002</v>
      </c>
      <c r="Q290" s="37">
        <v>1459.33</v>
      </c>
      <c r="R290" s="37">
        <v>1027.49</v>
      </c>
      <c r="S290" s="3">
        <v>41.3</v>
      </c>
      <c r="T290" s="1" t="s">
        <v>44</v>
      </c>
      <c r="U290" s="15">
        <v>2</v>
      </c>
    </row>
    <row r="291" spans="1:21" x14ac:dyDescent="0.3">
      <c r="A291" s="14" t="s">
        <v>527</v>
      </c>
      <c r="B291" s="46">
        <v>45402</v>
      </c>
      <c r="C291" s="4" t="s">
        <v>454</v>
      </c>
      <c r="D291" s="42" t="s">
        <v>1374</v>
      </c>
      <c r="E291" s="4">
        <v>2024</v>
      </c>
      <c r="F291" s="4" t="s">
        <v>22</v>
      </c>
      <c r="G291" s="61" t="s">
        <v>122</v>
      </c>
      <c r="H291" s="5" t="s">
        <v>24</v>
      </c>
      <c r="I291" s="5" t="s">
        <v>75</v>
      </c>
      <c r="J291" s="5" t="s">
        <v>330</v>
      </c>
      <c r="K291" s="4">
        <v>11</v>
      </c>
      <c r="L291" s="38">
        <v>211.51</v>
      </c>
      <c r="M291" s="6">
        <v>0</v>
      </c>
      <c r="N291" s="38">
        <v>2326.61</v>
      </c>
      <c r="O291" s="38">
        <v>0</v>
      </c>
      <c r="P291" s="54">
        <v>2326.61</v>
      </c>
      <c r="Q291" s="38">
        <v>1217.74</v>
      </c>
      <c r="R291" s="38">
        <v>1108.8699999999999</v>
      </c>
      <c r="S291" s="6">
        <v>47.7</v>
      </c>
      <c r="T291" s="4" t="s">
        <v>33</v>
      </c>
      <c r="U291" s="16">
        <v>5</v>
      </c>
    </row>
    <row r="292" spans="1:21" x14ac:dyDescent="0.3">
      <c r="A292" s="13" t="s">
        <v>528</v>
      </c>
      <c r="B292" s="45">
        <v>45402</v>
      </c>
      <c r="C292" s="1" t="s">
        <v>454</v>
      </c>
      <c r="D292" s="41" t="s">
        <v>1374</v>
      </c>
      <c r="E292" s="1">
        <v>2024</v>
      </c>
      <c r="F292" s="1" t="s">
        <v>35</v>
      </c>
      <c r="G292" s="60" t="s">
        <v>54</v>
      </c>
      <c r="H292" s="2" t="s">
        <v>59</v>
      </c>
      <c r="I292" s="2" t="s">
        <v>75</v>
      </c>
      <c r="J292" s="2" t="s">
        <v>96</v>
      </c>
      <c r="K292" s="1">
        <v>5</v>
      </c>
      <c r="L292" s="37">
        <v>58.77</v>
      </c>
      <c r="M292" s="3">
        <v>0</v>
      </c>
      <c r="N292" s="37">
        <v>293.85000000000002</v>
      </c>
      <c r="O292" s="37">
        <v>0</v>
      </c>
      <c r="P292" s="53">
        <v>293.85000000000002</v>
      </c>
      <c r="Q292" s="37">
        <v>113.23</v>
      </c>
      <c r="R292" s="37">
        <v>180.62</v>
      </c>
      <c r="S292" s="3">
        <v>61.5</v>
      </c>
      <c r="T292" s="1" t="s">
        <v>33</v>
      </c>
      <c r="U292" s="15">
        <v>4</v>
      </c>
    </row>
    <row r="293" spans="1:21" x14ac:dyDescent="0.3">
      <c r="A293" s="14" t="s">
        <v>529</v>
      </c>
      <c r="B293" s="46">
        <v>45403</v>
      </c>
      <c r="C293" s="4" t="s">
        <v>454</v>
      </c>
      <c r="D293" s="42" t="s">
        <v>1374</v>
      </c>
      <c r="E293" s="4">
        <v>2024</v>
      </c>
      <c r="F293" s="4" t="s">
        <v>41</v>
      </c>
      <c r="G293" s="61" t="s">
        <v>42</v>
      </c>
      <c r="H293" s="5" t="s">
        <v>24</v>
      </c>
      <c r="I293" s="5" t="s">
        <v>55</v>
      </c>
      <c r="J293" s="5" t="s">
        <v>530</v>
      </c>
      <c r="K293" s="4">
        <v>8</v>
      </c>
      <c r="L293" s="38">
        <v>502.23</v>
      </c>
      <c r="M293" s="6">
        <v>0</v>
      </c>
      <c r="N293" s="38">
        <v>4017.84</v>
      </c>
      <c r="O293" s="38">
        <v>0</v>
      </c>
      <c r="P293" s="54">
        <v>4017.84</v>
      </c>
      <c r="Q293" s="38">
        <v>1414.92</v>
      </c>
      <c r="R293" s="38">
        <v>2602.92</v>
      </c>
      <c r="S293" s="6">
        <v>64.8</v>
      </c>
      <c r="T293" s="4" t="s">
        <v>44</v>
      </c>
      <c r="U293" s="16">
        <v>1</v>
      </c>
    </row>
    <row r="294" spans="1:21" x14ac:dyDescent="0.3">
      <c r="A294" s="13" t="s">
        <v>531</v>
      </c>
      <c r="B294" s="45">
        <v>45403</v>
      </c>
      <c r="C294" s="1" t="s">
        <v>454</v>
      </c>
      <c r="D294" s="41" t="s">
        <v>1374</v>
      </c>
      <c r="E294" s="1">
        <v>2024</v>
      </c>
      <c r="F294" s="1" t="s">
        <v>22</v>
      </c>
      <c r="G294" s="60" t="s">
        <v>30</v>
      </c>
      <c r="H294" s="2" t="s">
        <v>59</v>
      </c>
      <c r="I294" s="2" t="s">
        <v>31</v>
      </c>
      <c r="J294" s="2" t="s">
        <v>43</v>
      </c>
      <c r="K294" s="1">
        <v>9</v>
      </c>
      <c r="L294" s="37">
        <v>99.59</v>
      </c>
      <c r="M294" s="3">
        <v>5</v>
      </c>
      <c r="N294" s="37">
        <v>896.31</v>
      </c>
      <c r="O294" s="37">
        <v>44.82</v>
      </c>
      <c r="P294" s="53">
        <v>851.49</v>
      </c>
      <c r="Q294" s="37">
        <v>465.22</v>
      </c>
      <c r="R294" s="37">
        <v>386.27</v>
      </c>
      <c r="S294" s="3">
        <v>45.4</v>
      </c>
      <c r="T294" s="1" t="s">
        <v>44</v>
      </c>
      <c r="U294" s="15">
        <v>1</v>
      </c>
    </row>
    <row r="295" spans="1:21" x14ac:dyDescent="0.3">
      <c r="A295" s="14" t="s">
        <v>532</v>
      </c>
      <c r="B295" s="46">
        <v>45403</v>
      </c>
      <c r="C295" s="4" t="s">
        <v>454</v>
      </c>
      <c r="D295" s="42" t="s">
        <v>1374</v>
      </c>
      <c r="E295" s="4">
        <v>2024</v>
      </c>
      <c r="F295" s="4" t="s">
        <v>29</v>
      </c>
      <c r="G295" s="61" t="s">
        <v>42</v>
      </c>
      <c r="H295" s="5" t="s">
        <v>50</v>
      </c>
      <c r="I295" s="5" t="s">
        <v>75</v>
      </c>
      <c r="J295" s="5" t="s">
        <v>370</v>
      </c>
      <c r="K295" s="4">
        <v>3</v>
      </c>
      <c r="L295" s="38">
        <v>115.27</v>
      </c>
      <c r="M295" s="6">
        <v>10</v>
      </c>
      <c r="N295" s="38">
        <v>345.81</v>
      </c>
      <c r="O295" s="38">
        <v>34.58</v>
      </c>
      <c r="P295" s="54">
        <v>311.23</v>
      </c>
      <c r="Q295" s="38">
        <v>173.15</v>
      </c>
      <c r="R295" s="38">
        <v>138.08000000000001</v>
      </c>
      <c r="S295" s="6">
        <v>44.4</v>
      </c>
      <c r="T295" s="4" t="s">
        <v>44</v>
      </c>
      <c r="U295" s="16">
        <v>2</v>
      </c>
    </row>
    <row r="296" spans="1:21" x14ac:dyDescent="0.3">
      <c r="A296" s="13" t="s">
        <v>533</v>
      </c>
      <c r="B296" s="45">
        <v>45404</v>
      </c>
      <c r="C296" s="1" t="s">
        <v>454</v>
      </c>
      <c r="D296" s="41" t="s">
        <v>1374</v>
      </c>
      <c r="E296" s="1">
        <v>2024</v>
      </c>
      <c r="F296" s="1" t="s">
        <v>35</v>
      </c>
      <c r="G296" s="60" t="s">
        <v>36</v>
      </c>
      <c r="H296" s="2" t="s">
        <v>24</v>
      </c>
      <c r="I296" s="2" t="s">
        <v>25</v>
      </c>
      <c r="J296" s="2" t="s">
        <v>102</v>
      </c>
      <c r="K296" s="1">
        <v>8</v>
      </c>
      <c r="L296" s="37">
        <v>91.67</v>
      </c>
      <c r="M296" s="3">
        <v>10</v>
      </c>
      <c r="N296" s="37">
        <v>733.36</v>
      </c>
      <c r="O296" s="37">
        <v>73.34</v>
      </c>
      <c r="P296" s="53">
        <v>660.02</v>
      </c>
      <c r="Q296" s="37">
        <v>293.56</v>
      </c>
      <c r="R296" s="37">
        <v>366.46</v>
      </c>
      <c r="S296" s="3">
        <v>55.5</v>
      </c>
      <c r="T296" s="1" t="s">
        <v>44</v>
      </c>
      <c r="U296" s="15">
        <v>3</v>
      </c>
    </row>
    <row r="297" spans="1:21" x14ac:dyDescent="0.3">
      <c r="A297" s="14" t="s">
        <v>534</v>
      </c>
      <c r="B297" s="46">
        <v>45404</v>
      </c>
      <c r="C297" s="4" t="s">
        <v>454</v>
      </c>
      <c r="D297" s="42" t="s">
        <v>1374</v>
      </c>
      <c r="E297" s="4">
        <v>2024</v>
      </c>
      <c r="F297" s="4" t="s">
        <v>53</v>
      </c>
      <c r="G297" s="61" t="s">
        <v>54</v>
      </c>
      <c r="H297" s="5" t="s">
        <v>59</v>
      </c>
      <c r="I297" s="5" t="s">
        <v>47</v>
      </c>
      <c r="J297" s="5" t="s">
        <v>158</v>
      </c>
      <c r="K297" s="4">
        <v>18</v>
      </c>
      <c r="L297" s="38">
        <v>43.36</v>
      </c>
      <c r="M297" s="6">
        <v>0</v>
      </c>
      <c r="N297" s="38">
        <v>780.48</v>
      </c>
      <c r="O297" s="38">
        <v>0</v>
      </c>
      <c r="P297" s="54">
        <v>780.48</v>
      </c>
      <c r="Q297" s="38">
        <v>357.99</v>
      </c>
      <c r="R297" s="38">
        <v>422.49</v>
      </c>
      <c r="S297" s="6">
        <v>54.1</v>
      </c>
      <c r="T297" s="4" t="s">
        <v>33</v>
      </c>
      <c r="U297" s="16">
        <v>5</v>
      </c>
    </row>
    <row r="298" spans="1:21" x14ac:dyDescent="0.3">
      <c r="A298" s="13" t="s">
        <v>535</v>
      </c>
      <c r="B298" s="45">
        <v>45404</v>
      </c>
      <c r="C298" s="1" t="s">
        <v>454</v>
      </c>
      <c r="D298" s="41" t="s">
        <v>1374</v>
      </c>
      <c r="E298" s="1">
        <v>2024</v>
      </c>
      <c r="F298" s="1" t="s">
        <v>22</v>
      </c>
      <c r="G298" s="60" t="s">
        <v>122</v>
      </c>
      <c r="H298" s="2" t="s">
        <v>24</v>
      </c>
      <c r="I298" s="2" t="s">
        <v>25</v>
      </c>
      <c r="J298" s="2" t="s">
        <v>376</v>
      </c>
      <c r="K298" s="1">
        <v>20</v>
      </c>
      <c r="L298" s="37">
        <v>49.39</v>
      </c>
      <c r="M298" s="3">
        <v>0</v>
      </c>
      <c r="N298" s="37">
        <v>987.8</v>
      </c>
      <c r="O298" s="37">
        <v>0</v>
      </c>
      <c r="P298" s="53">
        <v>987.8</v>
      </c>
      <c r="Q298" s="37">
        <v>391.6</v>
      </c>
      <c r="R298" s="37">
        <v>596.20000000000005</v>
      </c>
      <c r="S298" s="3">
        <v>60.4</v>
      </c>
      <c r="T298" s="1" t="s">
        <v>44</v>
      </c>
      <c r="U298" s="15">
        <v>1</v>
      </c>
    </row>
    <row r="299" spans="1:21" x14ac:dyDescent="0.3">
      <c r="A299" s="14" t="s">
        <v>536</v>
      </c>
      <c r="B299" s="46">
        <v>45404</v>
      </c>
      <c r="C299" s="4" t="s">
        <v>454</v>
      </c>
      <c r="D299" s="42" t="s">
        <v>1374</v>
      </c>
      <c r="E299" s="4">
        <v>2024</v>
      </c>
      <c r="F299" s="4" t="s">
        <v>29</v>
      </c>
      <c r="G299" s="61" t="s">
        <v>36</v>
      </c>
      <c r="H299" s="5" t="s">
        <v>37</v>
      </c>
      <c r="I299" s="5" t="s">
        <v>47</v>
      </c>
      <c r="J299" s="5" t="s">
        <v>537</v>
      </c>
      <c r="K299" s="4">
        <v>20</v>
      </c>
      <c r="L299" s="38">
        <v>306.81</v>
      </c>
      <c r="M299" s="6">
        <v>0</v>
      </c>
      <c r="N299" s="38">
        <v>6136.2</v>
      </c>
      <c r="O299" s="38">
        <v>0</v>
      </c>
      <c r="P299" s="54">
        <v>6136.2</v>
      </c>
      <c r="Q299" s="38">
        <v>3347.13</v>
      </c>
      <c r="R299" s="38">
        <v>2789.07</v>
      </c>
      <c r="S299" s="6">
        <v>45.5</v>
      </c>
      <c r="T299" s="4" t="s">
        <v>44</v>
      </c>
      <c r="U299" s="16">
        <v>4</v>
      </c>
    </row>
    <row r="300" spans="1:21" x14ac:dyDescent="0.3">
      <c r="A300" s="13" t="s">
        <v>538</v>
      </c>
      <c r="B300" s="45">
        <v>45404</v>
      </c>
      <c r="C300" s="1" t="s">
        <v>454</v>
      </c>
      <c r="D300" s="41" t="s">
        <v>1374</v>
      </c>
      <c r="E300" s="1">
        <v>2024</v>
      </c>
      <c r="F300" s="1" t="s">
        <v>29</v>
      </c>
      <c r="G300" s="60" t="s">
        <v>42</v>
      </c>
      <c r="H300" s="2" t="s">
        <v>59</v>
      </c>
      <c r="I300" s="2" t="s">
        <v>38</v>
      </c>
      <c r="J300" s="2" t="s">
        <v>151</v>
      </c>
      <c r="K300" s="1">
        <v>20</v>
      </c>
      <c r="L300" s="37">
        <v>68.209999999999994</v>
      </c>
      <c r="M300" s="3">
        <v>20</v>
      </c>
      <c r="N300" s="37">
        <v>1364.2</v>
      </c>
      <c r="O300" s="37">
        <v>272.83999999999997</v>
      </c>
      <c r="P300" s="53">
        <v>1091.3599999999999</v>
      </c>
      <c r="Q300" s="37">
        <v>465.02</v>
      </c>
      <c r="R300" s="37">
        <v>626.34</v>
      </c>
      <c r="S300" s="3">
        <v>57.4</v>
      </c>
      <c r="T300" s="1" t="s">
        <v>44</v>
      </c>
      <c r="U300" s="15">
        <v>1</v>
      </c>
    </row>
    <row r="301" spans="1:21" x14ac:dyDescent="0.3">
      <c r="A301" s="14" t="s">
        <v>539</v>
      </c>
      <c r="B301" s="46">
        <v>45404</v>
      </c>
      <c r="C301" s="4" t="s">
        <v>454</v>
      </c>
      <c r="D301" s="42" t="s">
        <v>1374</v>
      </c>
      <c r="E301" s="4">
        <v>2024</v>
      </c>
      <c r="F301" s="4" t="s">
        <v>41</v>
      </c>
      <c r="G301" s="61" t="s">
        <v>30</v>
      </c>
      <c r="H301" s="5" t="s">
        <v>59</v>
      </c>
      <c r="I301" s="5" t="s">
        <v>47</v>
      </c>
      <c r="J301" s="5" t="s">
        <v>379</v>
      </c>
      <c r="K301" s="4">
        <v>10</v>
      </c>
      <c r="L301" s="38">
        <v>342.81</v>
      </c>
      <c r="M301" s="6">
        <v>0</v>
      </c>
      <c r="N301" s="38">
        <v>3428.1</v>
      </c>
      <c r="O301" s="38">
        <v>0</v>
      </c>
      <c r="P301" s="54">
        <v>3428.1</v>
      </c>
      <c r="Q301" s="38">
        <v>2079.12</v>
      </c>
      <c r="R301" s="38">
        <v>1348.98</v>
      </c>
      <c r="S301" s="6">
        <v>39.4</v>
      </c>
      <c r="T301" s="4" t="s">
        <v>27</v>
      </c>
      <c r="U301" s="16">
        <v>4</v>
      </c>
    </row>
    <row r="302" spans="1:21" x14ac:dyDescent="0.3">
      <c r="A302" s="13" t="s">
        <v>540</v>
      </c>
      <c r="B302" s="45">
        <v>45404</v>
      </c>
      <c r="C302" s="1" t="s">
        <v>454</v>
      </c>
      <c r="D302" s="41" t="s">
        <v>1374</v>
      </c>
      <c r="E302" s="1">
        <v>2024</v>
      </c>
      <c r="F302" s="1" t="s">
        <v>35</v>
      </c>
      <c r="G302" s="60" t="s">
        <v>46</v>
      </c>
      <c r="H302" s="2" t="s">
        <v>50</v>
      </c>
      <c r="I302" s="2" t="s">
        <v>55</v>
      </c>
      <c r="J302" s="2" t="s">
        <v>438</v>
      </c>
      <c r="K302" s="1">
        <v>1</v>
      </c>
      <c r="L302" s="37">
        <v>378.61</v>
      </c>
      <c r="M302" s="3">
        <v>0</v>
      </c>
      <c r="N302" s="37">
        <v>378.61</v>
      </c>
      <c r="O302" s="37">
        <v>0</v>
      </c>
      <c r="P302" s="53">
        <v>378.61</v>
      </c>
      <c r="Q302" s="37">
        <v>180.62</v>
      </c>
      <c r="R302" s="37">
        <v>197.99</v>
      </c>
      <c r="S302" s="3">
        <v>52.3</v>
      </c>
      <c r="T302" s="1" t="s">
        <v>44</v>
      </c>
      <c r="U302" s="15">
        <v>3</v>
      </c>
    </row>
    <row r="303" spans="1:21" x14ac:dyDescent="0.3">
      <c r="A303" s="14" t="s">
        <v>541</v>
      </c>
      <c r="B303" s="46">
        <v>45405</v>
      </c>
      <c r="C303" s="4" t="s">
        <v>454</v>
      </c>
      <c r="D303" s="42" t="s">
        <v>1374</v>
      </c>
      <c r="E303" s="4">
        <v>2024</v>
      </c>
      <c r="F303" s="4" t="s">
        <v>41</v>
      </c>
      <c r="G303" s="61" t="s">
        <v>58</v>
      </c>
      <c r="H303" s="5" t="s">
        <v>50</v>
      </c>
      <c r="I303" s="5" t="s">
        <v>38</v>
      </c>
      <c r="J303" s="5" t="s">
        <v>542</v>
      </c>
      <c r="K303" s="4">
        <v>10</v>
      </c>
      <c r="L303" s="38">
        <v>5.61</v>
      </c>
      <c r="M303" s="6">
        <v>0</v>
      </c>
      <c r="N303" s="38">
        <v>56.1</v>
      </c>
      <c r="O303" s="38">
        <v>0</v>
      </c>
      <c r="P303" s="54">
        <v>56.1</v>
      </c>
      <c r="Q303" s="38">
        <v>25.79</v>
      </c>
      <c r="R303" s="38">
        <v>30.31</v>
      </c>
      <c r="S303" s="6">
        <v>54</v>
      </c>
      <c r="T303" s="4" t="s">
        <v>27</v>
      </c>
      <c r="U303" s="16">
        <v>2</v>
      </c>
    </row>
    <row r="304" spans="1:21" x14ac:dyDescent="0.3">
      <c r="A304" s="13" t="s">
        <v>543</v>
      </c>
      <c r="B304" s="45">
        <v>45405</v>
      </c>
      <c r="C304" s="1" t="s">
        <v>454</v>
      </c>
      <c r="D304" s="41" t="s">
        <v>1374</v>
      </c>
      <c r="E304" s="1">
        <v>2024</v>
      </c>
      <c r="F304" s="1" t="s">
        <v>53</v>
      </c>
      <c r="G304" s="60" t="s">
        <v>36</v>
      </c>
      <c r="H304" s="2" t="s">
        <v>50</v>
      </c>
      <c r="I304" s="2" t="s">
        <v>75</v>
      </c>
      <c r="J304" s="2" t="s">
        <v>481</v>
      </c>
      <c r="K304" s="1">
        <v>7</v>
      </c>
      <c r="L304" s="37">
        <v>65.31</v>
      </c>
      <c r="M304" s="3">
        <v>5</v>
      </c>
      <c r="N304" s="37">
        <v>457.17</v>
      </c>
      <c r="O304" s="37">
        <v>22.86</v>
      </c>
      <c r="P304" s="53">
        <v>434.31</v>
      </c>
      <c r="Q304" s="37">
        <v>187.91</v>
      </c>
      <c r="R304" s="37">
        <v>246.4</v>
      </c>
      <c r="S304" s="3">
        <v>56.7</v>
      </c>
      <c r="T304" s="1" t="s">
        <v>33</v>
      </c>
      <c r="U304" s="15">
        <v>3</v>
      </c>
    </row>
    <row r="305" spans="1:21" x14ac:dyDescent="0.3">
      <c r="A305" s="14" t="s">
        <v>544</v>
      </c>
      <c r="B305" s="46">
        <v>45406</v>
      </c>
      <c r="C305" s="4" t="s">
        <v>454</v>
      </c>
      <c r="D305" s="42" t="s">
        <v>1374</v>
      </c>
      <c r="E305" s="4">
        <v>2024</v>
      </c>
      <c r="F305" s="4" t="s">
        <v>53</v>
      </c>
      <c r="G305" s="61" t="s">
        <v>36</v>
      </c>
      <c r="H305" s="5" t="s">
        <v>24</v>
      </c>
      <c r="I305" s="5" t="s">
        <v>47</v>
      </c>
      <c r="J305" s="5" t="s">
        <v>73</v>
      </c>
      <c r="K305" s="4">
        <v>17</v>
      </c>
      <c r="L305" s="38">
        <v>84.29</v>
      </c>
      <c r="M305" s="6">
        <v>15</v>
      </c>
      <c r="N305" s="38">
        <v>1432.93</v>
      </c>
      <c r="O305" s="38">
        <v>214.94</v>
      </c>
      <c r="P305" s="54">
        <v>1217.99</v>
      </c>
      <c r="Q305" s="38">
        <v>674.99</v>
      </c>
      <c r="R305" s="38">
        <v>543</v>
      </c>
      <c r="S305" s="6">
        <v>44.6</v>
      </c>
      <c r="T305" s="4" t="s">
        <v>44</v>
      </c>
      <c r="U305" s="16">
        <v>2</v>
      </c>
    </row>
    <row r="306" spans="1:21" x14ac:dyDescent="0.3">
      <c r="A306" s="13" t="s">
        <v>545</v>
      </c>
      <c r="B306" s="45">
        <v>45406</v>
      </c>
      <c r="C306" s="1" t="s">
        <v>454</v>
      </c>
      <c r="D306" s="41" t="s">
        <v>1374</v>
      </c>
      <c r="E306" s="1">
        <v>2024</v>
      </c>
      <c r="F306" s="1" t="s">
        <v>41</v>
      </c>
      <c r="G306" s="60" t="s">
        <v>122</v>
      </c>
      <c r="H306" s="2" t="s">
        <v>59</v>
      </c>
      <c r="I306" s="2" t="s">
        <v>55</v>
      </c>
      <c r="J306" s="2" t="s">
        <v>115</v>
      </c>
      <c r="K306" s="1">
        <v>20</v>
      </c>
      <c r="L306" s="37">
        <v>354.14</v>
      </c>
      <c r="M306" s="3">
        <v>10</v>
      </c>
      <c r="N306" s="37">
        <v>7082.8</v>
      </c>
      <c r="O306" s="37">
        <v>708.28</v>
      </c>
      <c r="P306" s="53">
        <v>6374.52</v>
      </c>
      <c r="Q306" s="37">
        <v>3674.86</v>
      </c>
      <c r="R306" s="37">
        <v>2699.66</v>
      </c>
      <c r="S306" s="3">
        <v>42.4</v>
      </c>
      <c r="T306" s="1" t="s">
        <v>33</v>
      </c>
      <c r="U306" s="15">
        <v>1</v>
      </c>
    </row>
    <row r="307" spans="1:21" x14ac:dyDescent="0.3">
      <c r="A307" s="14" t="s">
        <v>546</v>
      </c>
      <c r="B307" s="46">
        <v>45406</v>
      </c>
      <c r="C307" s="4" t="s">
        <v>454</v>
      </c>
      <c r="D307" s="42" t="s">
        <v>1374</v>
      </c>
      <c r="E307" s="4">
        <v>2024</v>
      </c>
      <c r="F307" s="4" t="s">
        <v>22</v>
      </c>
      <c r="G307" s="61" t="s">
        <v>122</v>
      </c>
      <c r="H307" s="5" t="s">
        <v>24</v>
      </c>
      <c r="I307" s="5" t="s">
        <v>25</v>
      </c>
      <c r="J307" s="5" t="s">
        <v>547</v>
      </c>
      <c r="K307" s="4">
        <v>17</v>
      </c>
      <c r="L307" s="38">
        <v>61.21</v>
      </c>
      <c r="M307" s="6">
        <v>10</v>
      </c>
      <c r="N307" s="38">
        <v>1040.57</v>
      </c>
      <c r="O307" s="38">
        <v>104.06</v>
      </c>
      <c r="P307" s="54">
        <v>936.51</v>
      </c>
      <c r="Q307" s="38">
        <v>443.88</v>
      </c>
      <c r="R307" s="38">
        <v>492.63</v>
      </c>
      <c r="S307" s="6">
        <v>52.6</v>
      </c>
      <c r="T307" s="4" t="s">
        <v>44</v>
      </c>
      <c r="U307" s="16">
        <v>3</v>
      </c>
    </row>
    <row r="308" spans="1:21" x14ac:dyDescent="0.3">
      <c r="A308" s="13" t="s">
        <v>548</v>
      </c>
      <c r="B308" s="45">
        <v>45407</v>
      </c>
      <c r="C308" s="1" t="s">
        <v>454</v>
      </c>
      <c r="D308" s="41" t="s">
        <v>1374</v>
      </c>
      <c r="E308" s="1">
        <v>2024</v>
      </c>
      <c r="F308" s="1" t="s">
        <v>22</v>
      </c>
      <c r="G308" s="60" t="s">
        <v>91</v>
      </c>
      <c r="H308" s="2" t="s">
        <v>59</v>
      </c>
      <c r="I308" s="2" t="s">
        <v>38</v>
      </c>
      <c r="J308" s="2" t="s">
        <v>520</v>
      </c>
      <c r="K308" s="1">
        <v>7</v>
      </c>
      <c r="L308" s="37">
        <v>35.24</v>
      </c>
      <c r="M308" s="3">
        <v>10</v>
      </c>
      <c r="N308" s="37">
        <v>246.68</v>
      </c>
      <c r="O308" s="37">
        <v>24.67</v>
      </c>
      <c r="P308" s="53">
        <v>222.01</v>
      </c>
      <c r="Q308" s="37">
        <v>129.91</v>
      </c>
      <c r="R308" s="37">
        <v>92.1</v>
      </c>
      <c r="S308" s="3">
        <v>41.5</v>
      </c>
      <c r="T308" s="1" t="s">
        <v>44</v>
      </c>
      <c r="U308" s="15">
        <v>5</v>
      </c>
    </row>
    <row r="309" spans="1:21" x14ac:dyDescent="0.3">
      <c r="A309" s="14" t="s">
        <v>549</v>
      </c>
      <c r="B309" s="46">
        <v>45407</v>
      </c>
      <c r="C309" s="4" t="s">
        <v>454</v>
      </c>
      <c r="D309" s="42" t="s">
        <v>1374</v>
      </c>
      <c r="E309" s="4">
        <v>2024</v>
      </c>
      <c r="F309" s="4" t="s">
        <v>41</v>
      </c>
      <c r="G309" s="61" t="s">
        <v>42</v>
      </c>
      <c r="H309" s="5" t="s">
        <v>50</v>
      </c>
      <c r="I309" s="5" t="s">
        <v>38</v>
      </c>
      <c r="J309" s="5" t="s">
        <v>85</v>
      </c>
      <c r="K309" s="4">
        <v>13</v>
      </c>
      <c r="L309" s="38">
        <v>8.39</v>
      </c>
      <c r="M309" s="6">
        <v>0</v>
      </c>
      <c r="N309" s="38">
        <v>109.07</v>
      </c>
      <c r="O309" s="38">
        <v>0</v>
      </c>
      <c r="P309" s="54">
        <v>109.07</v>
      </c>
      <c r="Q309" s="38">
        <v>53.96</v>
      </c>
      <c r="R309" s="38">
        <v>55.11</v>
      </c>
      <c r="S309" s="6">
        <v>50.5</v>
      </c>
      <c r="T309" s="4" t="s">
        <v>44</v>
      </c>
      <c r="U309" s="16">
        <v>3</v>
      </c>
    </row>
    <row r="310" spans="1:21" x14ac:dyDescent="0.3">
      <c r="A310" s="13" t="s">
        <v>550</v>
      </c>
      <c r="B310" s="45">
        <v>45407</v>
      </c>
      <c r="C310" s="1" t="s">
        <v>454</v>
      </c>
      <c r="D310" s="41" t="s">
        <v>1374</v>
      </c>
      <c r="E310" s="1">
        <v>2024</v>
      </c>
      <c r="F310" s="1" t="s">
        <v>41</v>
      </c>
      <c r="G310" s="60" t="s">
        <v>23</v>
      </c>
      <c r="H310" s="2" t="s">
        <v>24</v>
      </c>
      <c r="I310" s="2" t="s">
        <v>55</v>
      </c>
      <c r="J310" s="2" t="s">
        <v>507</v>
      </c>
      <c r="K310" s="1">
        <v>10</v>
      </c>
      <c r="L310" s="37">
        <v>108.83</v>
      </c>
      <c r="M310" s="3">
        <v>5</v>
      </c>
      <c r="N310" s="37">
        <v>1088.3</v>
      </c>
      <c r="O310" s="37">
        <v>54.41</v>
      </c>
      <c r="P310" s="53">
        <v>1033.8900000000001</v>
      </c>
      <c r="Q310" s="37">
        <v>476.69</v>
      </c>
      <c r="R310" s="37">
        <v>557.20000000000005</v>
      </c>
      <c r="S310" s="3">
        <v>53.9</v>
      </c>
      <c r="T310" s="1" t="s">
        <v>44</v>
      </c>
      <c r="U310" s="15">
        <v>3</v>
      </c>
    </row>
    <row r="311" spans="1:21" x14ac:dyDescent="0.3">
      <c r="A311" s="14" t="s">
        <v>551</v>
      </c>
      <c r="B311" s="46">
        <v>45408</v>
      </c>
      <c r="C311" s="4" t="s">
        <v>454</v>
      </c>
      <c r="D311" s="42" t="s">
        <v>1374</v>
      </c>
      <c r="E311" s="4">
        <v>2024</v>
      </c>
      <c r="F311" s="4" t="s">
        <v>22</v>
      </c>
      <c r="G311" s="61" t="s">
        <v>91</v>
      </c>
      <c r="H311" s="5" t="s">
        <v>37</v>
      </c>
      <c r="I311" s="5" t="s">
        <v>25</v>
      </c>
      <c r="J311" s="5" t="s">
        <v>111</v>
      </c>
      <c r="K311" s="4">
        <v>2</v>
      </c>
      <c r="L311" s="38">
        <v>88.65</v>
      </c>
      <c r="M311" s="6">
        <v>15</v>
      </c>
      <c r="N311" s="38">
        <v>177.3</v>
      </c>
      <c r="O311" s="38">
        <v>26.6</v>
      </c>
      <c r="P311" s="54">
        <v>150.69999999999999</v>
      </c>
      <c r="Q311" s="38">
        <v>77.83</v>
      </c>
      <c r="R311" s="38">
        <v>72.87</v>
      </c>
      <c r="S311" s="6">
        <v>48.4</v>
      </c>
      <c r="T311" s="4" t="s">
        <v>33</v>
      </c>
      <c r="U311" s="16">
        <v>1</v>
      </c>
    </row>
    <row r="312" spans="1:21" x14ac:dyDescent="0.3">
      <c r="A312" s="13" t="s">
        <v>552</v>
      </c>
      <c r="B312" s="45">
        <v>45408</v>
      </c>
      <c r="C312" s="1" t="s">
        <v>454</v>
      </c>
      <c r="D312" s="41" t="s">
        <v>1374</v>
      </c>
      <c r="E312" s="1">
        <v>2024</v>
      </c>
      <c r="F312" s="1" t="s">
        <v>35</v>
      </c>
      <c r="G312" s="60" t="s">
        <v>66</v>
      </c>
      <c r="H312" s="2" t="s">
        <v>37</v>
      </c>
      <c r="I312" s="2" t="s">
        <v>38</v>
      </c>
      <c r="J312" s="2" t="s">
        <v>553</v>
      </c>
      <c r="K312" s="1">
        <v>8</v>
      </c>
      <c r="L312" s="37">
        <v>32.19</v>
      </c>
      <c r="M312" s="3">
        <v>0</v>
      </c>
      <c r="N312" s="37">
        <v>257.52</v>
      </c>
      <c r="O312" s="37">
        <v>0</v>
      </c>
      <c r="P312" s="53">
        <v>257.52</v>
      </c>
      <c r="Q312" s="37">
        <v>109.74</v>
      </c>
      <c r="R312" s="37">
        <v>147.78</v>
      </c>
      <c r="S312" s="3">
        <v>57.4</v>
      </c>
      <c r="T312" s="1" t="s">
        <v>33</v>
      </c>
      <c r="U312" s="15">
        <v>1</v>
      </c>
    </row>
    <row r="313" spans="1:21" x14ac:dyDescent="0.3">
      <c r="A313" s="14" t="s">
        <v>554</v>
      </c>
      <c r="B313" s="46">
        <v>45408</v>
      </c>
      <c r="C313" s="4" t="s">
        <v>454</v>
      </c>
      <c r="D313" s="42" t="s">
        <v>1374</v>
      </c>
      <c r="E313" s="4">
        <v>2024</v>
      </c>
      <c r="F313" s="4" t="s">
        <v>41</v>
      </c>
      <c r="G313" s="61" t="s">
        <v>30</v>
      </c>
      <c r="H313" s="5" t="s">
        <v>59</v>
      </c>
      <c r="I313" s="5" t="s">
        <v>75</v>
      </c>
      <c r="J313" s="5" t="s">
        <v>149</v>
      </c>
      <c r="K313" s="4">
        <v>16</v>
      </c>
      <c r="L313" s="38">
        <v>133.22999999999999</v>
      </c>
      <c r="M313" s="6">
        <v>0</v>
      </c>
      <c r="N313" s="38">
        <v>2131.6799999999998</v>
      </c>
      <c r="O313" s="38">
        <v>0</v>
      </c>
      <c r="P313" s="54">
        <v>2131.6799999999998</v>
      </c>
      <c r="Q313" s="38">
        <v>942.19</v>
      </c>
      <c r="R313" s="38">
        <v>1189.49</v>
      </c>
      <c r="S313" s="6">
        <v>55.8</v>
      </c>
      <c r="T313" s="4" t="s">
        <v>44</v>
      </c>
      <c r="U313" s="16">
        <v>2</v>
      </c>
    </row>
    <row r="314" spans="1:21" x14ac:dyDescent="0.3">
      <c r="A314" s="13" t="s">
        <v>555</v>
      </c>
      <c r="B314" s="45">
        <v>45409</v>
      </c>
      <c r="C314" s="1" t="s">
        <v>454</v>
      </c>
      <c r="D314" s="41" t="s">
        <v>1374</v>
      </c>
      <c r="E314" s="1">
        <v>2024</v>
      </c>
      <c r="F314" s="1" t="s">
        <v>29</v>
      </c>
      <c r="G314" s="60" t="s">
        <v>122</v>
      </c>
      <c r="H314" s="2" t="s">
        <v>24</v>
      </c>
      <c r="I314" s="2" t="s">
        <v>47</v>
      </c>
      <c r="J314" s="2" t="s">
        <v>511</v>
      </c>
      <c r="K314" s="1">
        <v>13</v>
      </c>
      <c r="L314" s="37">
        <v>205.45</v>
      </c>
      <c r="M314" s="3">
        <v>5</v>
      </c>
      <c r="N314" s="37">
        <v>2670.85</v>
      </c>
      <c r="O314" s="37">
        <v>133.54</v>
      </c>
      <c r="P314" s="53">
        <v>2537.31</v>
      </c>
      <c r="Q314" s="37">
        <v>1150.18</v>
      </c>
      <c r="R314" s="37">
        <v>1387.13</v>
      </c>
      <c r="S314" s="3">
        <v>54.7</v>
      </c>
      <c r="T314" s="1" t="s">
        <v>27</v>
      </c>
      <c r="U314" s="15">
        <v>4</v>
      </c>
    </row>
    <row r="315" spans="1:21" x14ac:dyDescent="0.3">
      <c r="A315" s="14" t="s">
        <v>556</v>
      </c>
      <c r="B315" s="46">
        <v>45409</v>
      </c>
      <c r="C315" s="4" t="s">
        <v>454</v>
      </c>
      <c r="D315" s="42" t="s">
        <v>1374</v>
      </c>
      <c r="E315" s="4">
        <v>2024</v>
      </c>
      <c r="F315" s="4" t="s">
        <v>35</v>
      </c>
      <c r="G315" s="61" t="s">
        <v>122</v>
      </c>
      <c r="H315" s="5" t="s">
        <v>24</v>
      </c>
      <c r="I315" s="5" t="s">
        <v>31</v>
      </c>
      <c r="J315" s="5" t="s">
        <v>557</v>
      </c>
      <c r="K315" s="4">
        <v>4</v>
      </c>
      <c r="L315" s="38">
        <v>98.32</v>
      </c>
      <c r="M315" s="6">
        <v>0</v>
      </c>
      <c r="N315" s="38">
        <v>393.28</v>
      </c>
      <c r="O315" s="38">
        <v>0</v>
      </c>
      <c r="P315" s="54">
        <v>393.28</v>
      </c>
      <c r="Q315" s="38">
        <v>220.89</v>
      </c>
      <c r="R315" s="38">
        <v>172.39</v>
      </c>
      <c r="S315" s="6">
        <v>43.8</v>
      </c>
      <c r="T315" s="4" t="s">
        <v>44</v>
      </c>
      <c r="U315" s="16">
        <v>3</v>
      </c>
    </row>
    <row r="316" spans="1:21" x14ac:dyDescent="0.3">
      <c r="A316" s="13" t="s">
        <v>558</v>
      </c>
      <c r="B316" s="45">
        <v>45409</v>
      </c>
      <c r="C316" s="1" t="s">
        <v>454</v>
      </c>
      <c r="D316" s="41" t="s">
        <v>1374</v>
      </c>
      <c r="E316" s="1">
        <v>2024</v>
      </c>
      <c r="F316" s="1" t="s">
        <v>41</v>
      </c>
      <c r="G316" s="60" t="s">
        <v>46</v>
      </c>
      <c r="H316" s="2" t="s">
        <v>59</v>
      </c>
      <c r="I316" s="2" t="s">
        <v>25</v>
      </c>
      <c r="J316" s="2" t="s">
        <v>559</v>
      </c>
      <c r="K316" s="1">
        <v>8</v>
      </c>
      <c r="L316" s="37">
        <v>86.98</v>
      </c>
      <c r="M316" s="3">
        <v>20</v>
      </c>
      <c r="N316" s="37">
        <v>695.84</v>
      </c>
      <c r="O316" s="37">
        <v>139.16999999999999</v>
      </c>
      <c r="P316" s="53">
        <v>556.66999999999996</v>
      </c>
      <c r="Q316" s="37">
        <v>317.70999999999998</v>
      </c>
      <c r="R316" s="37">
        <v>238.96</v>
      </c>
      <c r="S316" s="3">
        <v>42.9</v>
      </c>
      <c r="T316" s="1" t="s">
        <v>33</v>
      </c>
      <c r="U316" s="15">
        <v>4</v>
      </c>
    </row>
    <row r="317" spans="1:21" x14ac:dyDescent="0.3">
      <c r="A317" s="14" t="s">
        <v>560</v>
      </c>
      <c r="B317" s="46">
        <v>45410</v>
      </c>
      <c r="C317" s="4" t="s">
        <v>454</v>
      </c>
      <c r="D317" s="42" t="s">
        <v>1374</v>
      </c>
      <c r="E317" s="4">
        <v>2024</v>
      </c>
      <c r="F317" s="4" t="s">
        <v>29</v>
      </c>
      <c r="G317" s="61" t="s">
        <v>46</v>
      </c>
      <c r="H317" s="5" t="s">
        <v>59</v>
      </c>
      <c r="I317" s="5" t="s">
        <v>47</v>
      </c>
      <c r="J317" s="5" t="s">
        <v>452</v>
      </c>
      <c r="K317" s="4">
        <v>16</v>
      </c>
      <c r="L317" s="38">
        <v>416.15</v>
      </c>
      <c r="M317" s="6">
        <v>0</v>
      </c>
      <c r="N317" s="38">
        <v>6658.4</v>
      </c>
      <c r="O317" s="38">
        <v>0</v>
      </c>
      <c r="P317" s="54">
        <v>6658.4</v>
      </c>
      <c r="Q317" s="38">
        <v>4038.32</v>
      </c>
      <c r="R317" s="38">
        <v>2620.08</v>
      </c>
      <c r="S317" s="6">
        <v>39.299999999999997</v>
      </c>
      <c r="T317" s="4" t="s">
        <v>44</v>
      </c>
      <c r="U317" s="16">
        <v>3</v>
      </c>
    </row>
    <row r="318" spans="1:21" x14ac:dyDescent="0.3">
      <c r="A318" s="13" t="s">
        <v>561</v>
      </c>
      <c r="B318" s="45">
        <v>45410</v>
      </c>
      <c r="C318" s="1" t="s">
        <v>454</v>
      </c>
      <c r="D318" s="41" t="s">
        <v>1374</v>
      </c>
      <c r="E318" s="1">
        <v>2024</v>
      </c>
      <c r="F318" s="1" t="s">
        <v>29</v>
      </c>
      <c r="G318" s="60" t="s">
        <v>42</v>
      </c>
      <c r="H318" s="2" t="s">
        <v>50</v>
      </c>
      <c r="I318" s="2" t="s">
        <v>31</v>
      </c>
      <c r="J318" s="2" t="s">
        <v>562</v>
      </c>
      <c r="K318" s="1">
        <v>20</v>
      </c>
      <c r="L318" s="37">
        <v>130.30000000000001</v>
      </c>
      <c r="M318" s="3">
        <v>0</v>
      </c>
      <c r="N318" s="37">
        <v>2606</v>
      </c>
      <c r="O318" s="37">
        <v>0</v>
      </c>
      <c r="P318" s="53">
        <v>2606</v>
      </c>
      <c r="Q318" s="37">
        <v>1427.53</v>
      </c>
      <c r="R318" s="37">
        <v>1178.47</v>
      </c>
      <c r="S318" s="3">
        <v>45.2</v>
      </c>
      <c r="T318" s="1" t="s">
        <v>33</v>
      </c>
      <c r="U318" s="15">
        <v>4</v>
      </c>
    </row>
    <row r="319" spans="1:21" x14ac:dyDescent="0.3">
      <c r="A319" s="14" t="s">
        <v>563</v>
      </c>
      <c r="B319" s="46">
        <v>45410</v>
      </c>
      <c r="C319" s="4" t="s">
        <v>454</v>
      </c>
      <c r="D319" s="42" t="s">
        <v>1374</v>
      </c>
      <c r="E319" s="4">
        <v>2024</v>
      </c>
      <c r="F319" s="4" t="s">
        <v>41</v>
      </c>
      <c r="G319" s="61" t="s">
        <v>42</v>
      </c>
      <c r="H319" s="5" t="s">
        <v>59</v>
      </c>
      <c r="I319" s="5" t="s">
        <v>38</v>
      </c>
      <c r="J319" s="5" t="s">
        <v>366</v>
      </c>
      <c r="K319" s="4">
        <v>3</v>
      </c>
      <c r="L319" s="38">
        <v>50.83</v>
      </c>
      <c r="M319" s="6">
        <v>20</v>
      </c>
      <c r="N319" s="38">
        <v>152.49</v>
      </c>
      <c r="O319" s="38">
        <v>30.5</v>
      </c>
      <c r="P319" s="54">
        <v>121.99</v>
      </c>
      <c r="Q319" s="38">
        <v>70.06</v>
      </c>
      <c r="R319" s="38">
        <v>51.93</v>
      </c>
      <c r="S319" s="6">
        <v>42.6</v>
      </c>
      <c r="T319" s="4" t="s">
        <v>33</v>
      </c>
      <c r="U319" s="16">
        <v>2</v>
      </c>
    </row>
    <row r="320" spans="1:21" x14ac:dyDescent="0.3">
      <c r="A320" s="13" t="s">
        <v>564</v>
      </c>
      <c r="B320" s="45">
        <v>45411</v>
      </c>
      <c r="C320" s="1" t="s">
        <v>454</v>
      </c>
      <c r="D320" s="41" t="s">
        <v>1374</v>
      </c>
      <c r="E320" s="1">
        <v>2024</v>
      </c>
      <c r="F320" s="1" t="s">
        <v>41</v>
      </c>
      <c r="G320" s="60" t="s">
        <v>30</v>
      </c>
      <c r="H320" s="2" t="s">
        <v>50</v>
      </c>
      <c r="I320" s="2" t="s">
        <v>31</v>
      </c>
      <c r="J320" s="2" t="s">
        <v>565</v>
      </c>
      <c r="K320" s="1">
        <v>17</v>
      </c>
      <c r="L320" s="37">
        <v>38.799999999999997</v>
      </c>
      <c r="M320" s="3">
        <v>5</v>
      </c>
      <c r="N320" s="37">
        <v>659.6</v>
      </c>
      <c r="O320" s="37">
        <v>32.979999999999997</v>
      </c>
      <c r="P320" s="53">
        <v>626.62</v>
      </c>
      <c r="Q320" s="37">
        <v>303.27</v>
      </c>
      <c r="R320" s="37">
        <v>323.35000000000002</v>
      </c>
      <c r="S320" s="3">
        <v>51.6</v>
      </c>
      <c r="T320" s="1" t="s">
        <v>44</v>
      </c>
      <c r="U320" s="15">
        <v>1</v>
      </c>
    </row>
    <row r="321" spans="1:21" x14ac:dyDescent="0.3">
      <c r="A321" s="14" t="s">
        <v>566</v>
      </c>
      <c r="B321" s="46">
        <v>45411</v>
      </c>
      <c r="C321" s="4" t="s">
        <v>454</v>
      </c>
      <c r="D321" s="42" t="s">
        <v>1374</v>
      </c>
      <c r="E321" s="4">
        <v>2024</v>
      </c>
      <c r="F321" s="4" t="s">
        <v>41</v>
      </c>
      <c r="G321" s="61" t="s">
        <v>46</v>
      </c>
      <c r="H321" s="5" t="s">
        <v>24</v>
      </c>
      <c r="I321" s="5" t="s">
        <v>25</v>
      </c>
      <c r="J321" s="5" t="s">
        <v>567</v>
      </c>
      <c r="K321" s="4">
        <v>1</v>
      </c>
      <c r="L321" s="38">
        <v>23.54</v>
      </c>
      <c r="M321" s="6">
        <v>0</v>
      </c>
      <c r="N321" s="38">
        <v>23.54</v>
      </c>
      <c r="O321" s="38">
        <v>0</v>
      </c>
      <c r="P321" s="54">
        <v>23.54</v>
      </c>
      <c r="Q321" s="38">
        <v>13.18</v>
      </c>
      <c r="R321" s="38">
        <v>10.36</v>
      </c>
      <c r="S321" s="6">
        <v>44</v>
      </c>
      <c r="T321" s="4" t="s">
        <v>33</v>
      </c>
      <c r="U321" s="16">
        <v>5</v>
      </c>
    </row>
    <row r="322" spans="1:21" x14ac:dyDescent="0.3">
      <c r="A322" s="13" t="s">
        <v>568</v>
      </c>
      <c r="B322" s="45">
        <v>45411</v>
      </c>
      <c r="C322" s="1" t="s">
        <v>454</v>
      </c>
      <c r="D322" s="41" t="s">
        <v>1374</v>
      </c>
      <c r="E322" s="1">
        <v>2024</v>
      </c>
      <c r="F322" s="1" t="s">
        <v>29</v>
      </c>
      <c r="G322" s="60" t="s">
        <v>42</v>
      </c>
      <c r="H322" s="2" t="s">
        <v>37</v>
      </c>
      <c r="I322" s="2" t="s">
        <v>47</v>
      </c>
      <c r="J322" s="2" t="s">
        <v>525</v>
      </c>
      <c r="K322" s="1">
        <v>12</v>
      </c>
      <c r="L322" s="37">
        <v>199.14</v>
      </c>
      <c r="M322" s="3">
        <v>0</v>
      </c>
      <c r="N322" s="37">
        <v>2389.6799999999998</v>
      </c>
      <c r="O322" s="37">
        <v>0</v>
      </c>
      <c r="P322" s="53">
        <v>2389.6799999999998</v>
      </c>
      <c r="Q322" s="37">
        <v>952.38</v>
      </c>
      <c r="R322" s="37">
        <v>1437.3</v>
      </c>
      <c r="S322" s="3">
        <v>60.1</v>
      </c>
      <c r="T322" s="1" t="s">
        <v>44</v>
      </c>
      <c r="U322" s="15">
        <v>4</v>
      </c>
    </row>
    <row r="323" spans="1:21" x14ac:dyDescent="0.3">
      <c r="A323" s="14" t="s">
        <v>569</v>
      </c>
      <c r="B323" s="46">
        <v>45412</v>
      </c>
      <c r="C323" s="4" t="s">
        <v>454</v>
      </c>
      <c r="D323" s="42" t="s">
        <v>1374</v>
      </c>
      <c r="E323" s="4">
        <v>2024</v>
      </c>
      <c r="F323" s="4" t="s">
        <v>53</v>
      </c>
      <c r="G323" s="61" t="s">
        <v>42</v>
      </c>
      <c r="H323" s="5" t="s">
        <v>37</v>
      </c>
      <c r="I323" s="5" t="s">
        <v>38</v>
      </c>
      <c r="J323" s="5" t="s">
        <v>107</v>
      </c>
      <c r="K323" s="4">
        <v>11</v>
      </c>
      <c r="L323" s="38">
        <v>79.010000000000005</v>
      </c>
      <c r="M323" s="6">
        <v>0</v>
      </c>
      <c r="N323" s="38">
        <v>869.11</v>
      </c>
      <c r="O323" s="38">
        <v>0</v>
      </c>
      <c r="P323" s="54">
        <v>869.11</v>
      </c>
      <c r="Q323" s="38">
        <v>360.1</v>
      </c>
      <c r="R323" s="38">
        <v>509.01</v>
      </c>
      <c r="S323" s="6">
        <v>58.6</v>
      </c>
      <c r="T323" s="4" t="s">
        <v>44</v>
      </c>
      <c r="U323" s="16">
        <v>1</v>
      </c>
    </row>
    <row r="324" spans="1:21" x14ac:dyDescent="0.3">
      <c r="A324" s="13" t="s">
        <v>570</v>
      </c>
      <c r="B324" s="45">
        <v>45412</v>
      </c>
      <c r="C324" s="1" t="s">
        <v>454</v>
      </c>
      <c r="D324" s="41" t="s">
        <v>1374</v>
      </c>
      <c r="E324" s="1">
        <v>2024</v>
      </c>
      <c r="F324" s="1" t="s">
        <v>41</v>
      </c>
      <c r="G324" s="60" t="s">
        <v>91</v>
      </c>
      <c r="H324" s="2" t="s">
        <v>50</v>
      </c>
      <c r="I324" s="2" t="s">
        <v>38</v>
      </c>
      <c r="J324" s="2" t="s">
        <v>315</v>
      </c>
      <c r="K324" s="1">
        <v>5</v>
      </c>
      <c r="L324" s="37">
        <v>46.84</v>
      </c>
      <c r="M324" s="3">
        <v>15</v>
      </c>
      <c r="N324" s="37">
        <v>234.2</v>
      </c>
      <c r="O324" s="37">
        <v>35.130000000000003</v>
      </c>
      <c r="P324" s="53">
        <v>199.07</v>
      </c>
      <c r="Q324" s="37">
        <v>93.6</v>
      </c>
      <c r="R324" s="37">
        <v>105.47</v>
      </c>
      <c r="S324" s="3">
        <v>53</v>
      </c>
      <c r="T324" s="1" t="s">
        <v>44</v>
      </c>
      <c r="U324" s="15">
        <v>3</v>
      </c>
    </row>
    <row r="325" spans="1:21" x14ac:dyDescent="0.3">
      <c r="A325" s="14" t="s">
        <v>571</v>
      </c>
      <c r="B325" s="46">
        <v>45412</v>
      </c>
      <c r="C325" s="4" t="s">
        <v>454</v>
      </c>
      <c r="D325" s="42" t="s">
        <v>1374</v>
      </c>
      <c r="E325" s="4">
        <v>2024</v>
      </c>
      <c r="F325" s="4" t="s">
        <v>41</v>
      </c>
      <c r="G325" s="61" t="s">
        <v>46</v>
      </c>
      <c r="H325" s="5" t="s">
        <v>59</v>
      </c>
      <c r="I325" s="5" t="s">
        <v>38</v>
      </c>
      <c r="J325" s="5" t="s">
        <v>553</v>
      </c>
      <c r="K325" s="4">
        <v>13</v>
      </c>
      <c r="L325" s="38">
        <v>32.42</v>
      </c>
      <c r="M325" s="6">
        <v>0</v>
      </c>
      <c r="N325" s="38">
        <v>421.46</v>
      </c>
      <c r="O325" s="38">
        <v>0</v>
      </c>
      <c r="P325" s="54">
        <v>421.46</v>
      </c>
      <c r="Q325" s="38">
        <v>190.3</v>
      </c>
      <c r="R325" s="38">
        <v>231.16</v>
      </c>
      <c r="S325" s="6">
        <v>54.8</v>
      </c>
      <c r="T325" s="4" t="s">
        <v>44</v>
      </c>
      <c r="U325" s="16">
        <v>3</v>
      </c>
    </row>
    <row r="326" spans="1:21" x14ac:dyDescent="0.3">
      <c r="A326" s="13" t="s">
        <v>572</v>
      </c>
      <c r="B326" s="45">
        <v>45413</v>
      </c>
      <c r="C326" s="1" t="s">
        <v>573</v>
      </c>
      <c r="D326" s="41" t="s">
        <v>1374</v>
      </c>
      <c r="E326" s="1">
        <v>2024</v>
      </c>
      <c r="F326" s="1" t="s">
        <v>35</v>
      </c>
      <c r="G326" s="60" t="s">
        <v>58</v>
      </c>
      <c r="H326" s="2" t="s">
        <v>59</v>
      </c>
      <c r="I326" s="2" t="s">
        <v>38</v>
      </c>
      <c r="J326" s="2" t="s">
        <v>204</v>
      </c>
      <c r="K326" s="1">
        <v>19</v>
      </c>
      <c r="L326" s="37">
        <v>15.82</v>
      </c>
      <c r="M326" s="3">
        <v>0</v>
      </c>
      <c r="N326" s="37">
        <v>300.58</v>
      </c>
      <c r="O326" s="37">
        <v>0</v>
      </c>
      <c r="P326" s="53">
        <v>300.58</v>
      </c>
      <c r="Q326" s="37">
        <v>154.85</v>
      </c>
      <c r="R326" s="37">
        <v>145.72999999999999</v>
      </c>
      <c r="S326" s="3">
        <v>48.5</v>
      </c>
      <c r="T326" s="1" t="s">
        <v>44</v>
      </c>
      <c r="U326" s="15">
        <v>4</v>
      </c>
    </row>
    <row r="327" spans="1:21" x14ac:dyDescent="0.3">
      <c r="A327" s="14" t="s">
        <v>574</v>
      </c>
      <c r="B327" s="46">
        <v>45413</v>
      </c>
      <c r="C327" s="4" t="s">
        <v>573</v>
      </c>
      <c r="D327" s="42" t="s">
        <v>1374</v>
      </c>
      <c r="E327" s="4">
        <v>2024</v>
      </c>
      <c r="F327" s="4" t="s">
        <v>41</v>
      </c>
      <c r="G327" s="61" t="s">
        <v>122</v>
      </c>
      <c r="H327" s="5" t="s">
        <v>37</v>
      </c>
      <c r="I327" s="5" t="s">
        <v>31</v>
      </c>
      <c r="J327" s="5" t="s">
        <v>267</v>
      </c>
      <c r="K327" s="4">
        <v>14</v>
      </c>
      <c r="L327" s="38">
        <v>126.46</v>
      </c>
      <c r="M327" s="6">
        <v>15</v>
      </c>
      <c r="N327" s="38">
        <v>1770.44</v>
      </c>
      <c r="O327" s="38">
        <v>265.57</v>
      </c>
      <c r="P327" s="54">
        <v>1504.87</v>
      </c>
      <c r="Q327" s="38">
        <v>841.4</v>
      </c>
      <c r="R327" s="38">
        <v>663.47</v>
      </c>
      <c r="S327" s="6">
        <v>44.1</v>
      </c>
      <c r="T327" s="4" t="s">
        <v>44</v>
      </c>
      <c r="U327" s="16">
        <v>4</v>
      </c>
    </row>
    <row r="328" spans="1:21" x14ac:dyDescent="0.3">
      <c r="A328" s="13" t="s">
        <v>575</v>
      </c>
      <c r="B328" s="45">
        <v>45413</v>
      </c>
      <c r="C328" s="1" t="s">
        <v>573</v>
      </c>
      <c r="D328" s="41" t="s">
        <v>1374</v>
      </c>
      <c r="E328" s="1">
        <v>2024</v>
      </c>
      <c r="F328" s="1" t="s">
        <v>35</v>
      </c>
      <c r="G328" s="60" t="s">
        <v>30</v>
      </c>
      <c r="H328" s="2" t="s">
        <v>37</v>
      </c>
      <c r="I328" s="2" t="s">
        <v>38</v>
      </c>
      <c r="J328" s="2" t="s">
        <v>576</v>
      </c>
      <c r="K328" s="1">
        <v>12</v>
      </c>
      <c r="L328" s="37">
        <v>35.1</v>
      </c>
      <c r="M328" s="3">
        <v>0</v>
      </c>
      <c r="N328" s="37">
        <v>421.2</v>
      </c>
      <c r="O328" s="37">
        <v>0</v>
      </c>
      <c r="P328" s="53">
        <v>421.2</v>
      </c>
      <c r="Q328" s="37">
        <v>236.73</v>
      </c>
      <c r="R328" s="37">
        <v>184.47</v>
      </c>
      <c r="S328" s="3">
        <v>43.8</v>
      </c>
      <c r="T328" s="1" t="s">
        <v>33</v>
      </c>
      <c r="U328" s="15">
        <v>5</v>
      </c>
    </row>
    <row r="329" spans="1:21" x14ac:dyDescent="0.3">
      <c r="A329" s="14" t="s">
        <v>577</v>
      </c>
      <c r="B329" s="46">
        <v>45414</v>
      </c>
      <c r="C329" s="4" t="s">
        <v>573</v>
      </c>
      <c r="D329" s="42" t="s">
        <v>1374</v>
      </c>
      <c r="E329" s="4">
        <v>2024</v>
      </c>
      <c r="F329" s="4" t="s">
        <v>35</v>
      </c>
      <c r="G329" s="61" t="s">
        <v>36</v>
      </c>
      <c r="H329" s="5" t="s">
        <v>50</v>
      </c>
      <c r="I329" s="5" t="s">
        <v>55</v>
      </c>
      <c r="J329" s="5" t="s">
        <v>399</v>
      </c>
      <c r="K329" s="4">
        <v>18</v>
      </c>
      <c r="L329" s="38">
        <v>96.29</v>
      </c>
      <c r="M329" s="6">
        <v>10</v>
      </c>
      <c r="N329" s="38">
        <v>1733.22</v>
      </c>
      <c r="O329" s="38">
        <v>173.32</v>
      </c>
      <c r="P329" s="54">
        <v>1559.9</v>
      </c>
      <c r="Q329" s="38">
        <v>621.19000000000005</v>
      </c>
      <c r="R329" s="38">
        <v>938.71</v>
      </c>
      <c r="S329" s="6">
        <v>60.2</v>
      </c>
      <c r="T329" s="4" t="s">
        <v>27</v>
      </c>
      <c r="U329" s="16">
        <v>2</v>
      </c>
    </row>
    <row r="330" spans="1:21" x14ac:dyDescent="0.3">
      <c r="A330" s="13" t="s">
        <v>578</v>
      </c>
      <c r="B330" s="45">
        <v>45414</v>
      </c>
      <c r="C330" s="1" t="s">
        <v>573</v>
      </c>
      <c r="D330" s="41" t="s">
        <v>1374</v>
      </c>
      <c r="E330" s="1">
        <v>2024</v>
      </c>
      <c r="F330" s="1" t="s">
        <v>53</v>
      </c>
      <c r="G330" s="60" t="s">
        <v>46</v>
      </c>
      <c r="H330" s="2" t="s">
        <v>50</v>
      </c>
      <c r="I330" s="2" t="s">
        <v>38</v>
      </c>
      <c r="J330" s="2" t="s">
        <v>120</v>
      </c>
      <c r="K330" s="1">
        <v>6</v>
      </c>
      <c r="L330" s="37">
        <v>7.92</v>
      </c>
      <c r="M330" s="3">
        <v>10</v>
      </c>
      <c r="N330" s="37">
        <v>47.52</v>
      </c>
      <c r="O330" s="37">
        <v>4.75</v>
      </c>
      <c r="P330" s="53">
        <v>42.77</v>
      </c>
      <c r="Q330" s="37">
        <v>27.35</v>
      </c>
      <c r="R330" s="37">
        <v>15.42</v>
      </c>
      <c r="S330" s="3">
        <v>36.1</v>
      </c>
      <c r="T330" s="1" t="s">
        <v>44</v>
      </c>
      <c r="U330" s="15">
        <v>4</v>
      </c>
    </row>
    <row r="331" spans="1:21" x14ac:dyDescent="0.3">
      <c r="A331" s="14" t="s">
        <v>579</v>
      </c>
      <c r="B331" s="46">
        <v>45414</v>
      </c>
      <c r="C331" s="4" t="s">
        <v>573</v>
      </c>
      <c r="D331" s="42" t="s">
        <v>1374</v>
      </c>
      <c r="E331" s="4">
        <v>2024</v>
      </c>
      <c r="F331" s="4" t="s">
        <v>41</v>
      </c>
      <c r="G331" s="61" t="s">
        <v>30</v>
      </c>
      <c r="H331" s="5" t="s">
        <v>24</v>
      </c>
      <c r="I331" s="5" t="s">
        <v>38</v>
      </c>
      <c r="J331" s="5" t="s">
        <v>320</v>
      </c>
      <c r="K331" s="4">
        <v>16</v>
      </c>
      <c r="L331" s="38">
        <v>58.52</v>
      </c>
      <c r="M331" s="6">
        <v>0</v>
      </c>
      <c r="N331" s="38">
        <v>936.32</v>
      </c>
      <c r="O331" s="38">
        <v>0</v>
      </c>
      <c r="P331" s="54">
        <v>936.32</v>
      </c>
      <c r="Q331" s="38">
        <v>329.2</v>
      </c>
      <c r="R331" s="38">
        <v>607.12</v>
      </c>
      <c r="S331" s="6">
        <v>64.8</v>
      </c>
      <c r="T331" s="4" t="s">
        <v>44</v>
      </c>
      <c r="U331" s="16">
        <v>3</v>
      </c>
    </row>
    <row r="332" spans="1:21" x14ac:dyDescent="0.3">
      <c r="A332" s="13" t="s">
        <v>580</v>
      </c>
      <c r="B332" s="45">
        <v>45414</v>
      </c>
      <c r="C332" s="1" t="s">
        <v>573</v>
      </c>
      <c r="D332" s="41" t="s">
        <v>1374</v>
      </c>
      <c r="E332" s="1">
        <v>2024</v>
      </c>
      <c r="F332" s="1" t="s">
        <v>53</v>
      </c>
      <c r="G332" s="60" t="s">
        <v>30</v>
      </c>
      <c r="H332" s="2" t="s">
        <v>37</v>
      </c>
      <c r="I332" s="2" t="s">
        <v>55</v>
      </c>
      <c r="J332" s="2" t="s">
        <v>581</v>
      </c>
      <c r="K332" s="1">
        <v>3</v>
      </c>
      <c r="L332" s="37">
        <v>974.56</v>
      </c>
      <c r="M332" s="3">
        <v>0</v>
      </c>
      <c r="N332" s="37">
        <v>2923.68</v>
      </c>
      <c r="O332" s="37">
        <v>0</v>
      </c>
      <c r="P332" s="53">
        <v>2923.68</v>
      </c>
      <c r="Q332" s="37">
        <v>1103.18</v>
      </c>
      <c r="R332" s="37">
        <v>1820.5</v>
      </c>
      <c r="S332" s="3">
        <v>62.3</v>
      </c>
      <c r="T332" s="1" t="s">
        <v>27</v>
      </c>
      <c r="U332" s="15">
        <v>5</v>
      </c>
    </row>
    <row r="333" spans="1:21" x14ac:dyDescent="0.3">
      <c r="A333" s="14" t="s">
        <v>582</v>
      </c>
      <c r="B333" s="46">
        <v>45414</v>
      </c>
      <c r="C333" s="4" t="s">
        <v>573</v>
      </c>
      <c r="D333" s="42" t="s">
        <v>1374</v>
      </c>
      <c r="E333" s="4">
        <v>2024</v>
      </c>
      <c r="F333" s="4" t="s">
        <v>29</v>
      </c>
      <c r="G333" s="61" t="s">
        <v>23</v>
      </c>
      <c r="H333" s="5" t="s">
        <v>59</v>
      </c>
      <c r="I333" s="5" t="s">
        <v>47</v>
      </c>
      <c r="J333" s="5" t="s">
        <v>109</v>
      </c>
      <c r="K333" s="4">
        <v>1</v>
      </c>
      <c r="L333" s="38">
        <v>269.27999999999997</v>
      </c>
      <c r="M333" s="6">
        <v>0</v>
      </c>
      <c r="N333" s="38">
        <v>269.27999999999997</v>
      </c>
      <c r="O333" s="38">
        <v>0</v>
      </c>
      <c r="P333" s="54">
        <v>269.27999999999997</v>
      </c>
      <c r="Q333" s="38">
        <v>105.99</v>
      </c>
      <c r="R333" s="38">
        <v>163.29</v>
      </c>
      <c r="S333" s="6">
        <v>60.6</v>
      </c>
      <c r="T333" s="4" t="s">
        <v>27</v>
      </c>
      <c r="U333" s="16">
        <v>5</v>
      </c>
    </row>
    <row r="334" spans="1:21" x14ac:dyDescent="0.3">
      <c r="A334" s="13" t="s">
        <v>583</v>
      </c>
      <c r="B334" s="45">
        <v>45415</v>
      </c>
      <c r="C334" s="1" t="s">
        <v>573</v>
      </c>
      <c r="D334" s="41" t="s">
        <v>1374</v>
      </c>
      <c r="E334" s="1">
        <v>2024</v>
      </c>
      <c r="F334" s="1" t="s">
        <v>53</v>
      </c>
      <c r="G334" s="60" t="s">
        <v>54</v>
      </c>
      <c r="H334" s="2" t="s">
        <v>24</v>
      </c>
      <c r="I334" s="2" t="s">
        <v>75</v>
      </c>
      <c r="J334" s="2" t="s">
        <v>584</v>
      </c>
      <c r="K334" s="1">
        <v>19</v>
      </c>
      <c r="L334" s="37">
        <v>80.849999999999994</v>
      </c>
      <c r="M334" s="3">
        <v>15</v>
      </c>
      <c r="N334" s="37">
        <v>1536.15</v>
      </c>
      <c r="O334" s="37">
        <v>230.42</v>
      </c>
      <c r="P334" s="53">
        <v>1305.73</v>
      </c>
      <c r="Q334" s="37">
        <v>819.68</v>
      </c>
      <c r="R334" s="37">
        <v>486.05</v>
      </c>
      <c r="S334" s="3">
        <v>37.200000000000003</v>
      </c>
      <c r="T334" s="1" t="s">
        <v>27</v>
      </c>
      <c r="U334" s="15">
        <v>3</v>
      </c>
    </row>
    <row r="335" spans="1:21" x14ac:dyDescent="0.3">
      <c r="A335" s="14" t="s">
        <v>585</v>
      </c>
      <c r="B335" s="46">
        <v>45415</v>
      </c>
      <c r="C335" s="4" t="s">
        <v>573</v>
      </c>
      <c r="D335" s="42" t="s">
        <v>1374</v>
      </c>
      <c r="E335" s="4">
        <v>2024</v>
      </c>
      <c r="F335" s="4" t="s">
        <v>22</v>
      </c>
      <c r="G335" s="61" t="s">
        <v>91</v>
      </c>
      <c r="H335" s="5" t="s">
        <v>50</v>
      </c>
      <c r="I335" s="5" t="s">
        <v>55</v>
      </c>
      <c r="J335" s="5" t="s">
        <v>197</v>
      </c>
      <c r="K335" s="4">
        <v>3</v>
      </c>
      <c r="L335" s="38">
        <v>1077.0999999999999</v>
      </c>
      <c r="M335" s="6">
        <v>15</v>
      </c>
      <c r="N335" s="38">
        <v>3231.3</v>
      </c>
      <c r="O335" s="38">
        <v>484.69</v>
      </c>
      <c r="P335" s="54">
        <v>2746.61</v>
      </c>
      <c r="Q335" s="38">
        <v>1320.06</v>
      </c>
      <c r="R335" s="38">
        <v>1426.55</v>
      </c>
      <c r="S335" s="6">
        <v>51.9</v>
      </c>
      <c r="T335" s="4" t="s">
        <v>33</v>
      </c>
      <c r="U335" s="16">
        <v>3</v>
      </c>
    </row>
    <row r="336" spans="1:21" x14ac:dyDescent="0.3">
      <c r="A336" s="13" t="s">
        <v>586</v>
      </c>
      <c r="B336" s="45">
        <v>45415</v>
      </c>
      <c r="C336" s="1" t="s">
        <v>573</v>
      </c>
      <c r="D336" s="41" t="s">
        <v>1374</v>
      </c>
      <c r="E336" s="1">
        <v>2024</v>
      </c>
      <c r="F336" s="1" t="s">
        <v>22</v>
      </c>
      <c r="G336" s="60" t="s">
        <v>30</v>
      </c>
      <c r="H336" s="2" t="s">
        <v>50</v>
      </c>
      <c r="I336" s="2" t="s">
        <v>25</v>
      </c>
      <c r="J336" s="2" t="s">
        <v>294</v>
      </c>
      <c r="K336" s="1">
        <v>1</v>
      </c>
      <c r="L336" s="37">
        <v>29.57</v>
      </c>
      <c r="M336" s="3">
        <v>20</v>
      </c>
      <c r="N336" s="37">
        <v>29.57</v>
      </c>
      <c r="O336" s="37">
        <v>5.91</v>
      </c>
      <c r="P336" s="53">
        <v>23.66</v>
      </c>
      <c r="Q336" s="37">
        <v>8.74</v>
      </c>
      <c r="R336" s="37">
        <v>14.92</v>
      </c>
      <c r="S336" s="3">
        <v>63.1</v>
      </c>
      <c r="T336" s="1" t="s">
        <v>44</v>
      </c>
      <c r="U336" s="15">
        <v>1</v>
      </c>
    </row>
    <row r="337" spans="1:21" x14ac:dyDescent="0.3">
      <c r="A337" s="14" t="s">
        <v>587</v>
      </c>
      <c r="B337" s="46">
        <v>45416</v>
      </c>
      <c r="C337" s="4" t="s">
        <v>573</v>
      </c>
      <c r="D337" s="42" t="s">
        <v>1374</v>
      </c>
      <c r="E337" s="4">
        <v>2024</v>
      </c>
      <c r="F337" s="4" t="s">
        <v>22</v>
      </c>
      <c r="G337" s="61" t="s">
        <v>30</v>
      </c>
      <c r="H337" s="5" t="s">
        <v>24</v>
      </c>
      <c r="I337" s="5" t="s">
        <v>47</v>
      </c>
      <c r="J337" s="5" t="s">
        <v>588</v>
      </c>
      <c r="K337" s="4">
        <v>9</v>
      </c>
      <c r="L337" s="38">
        <v>467.06</v>
      </c>
      <c r="M337" s="6">
        <v>0</v>
      </c>
      <c r="N337" s="38">
        <v>4203.54</v>
      </c>
      <c r="O337" s="38">
        <v>0</v>
      </c>
      <c r="P337" s="54">
        <v>4203.54</v>
      </c>
      <c r="Q337" s="38">
        <v>1750.91</v>
      </c>
      <c r="R337" s="38">
        <v>2452.63</v>
      </c>
      <c r="S337" s="6">
        <v>58.3</v>
      </c>
      <c r="T337" s="4" t="s">
        <v>44</v>
      </c>
      <c r="U337" s="16">
        <v>4</v>
      </c>
    </row>
    <row r="338" spans="1:21" x14ac:dyDescent="0.3">
      <c r="A338" s="13" t="s">
        <v>589</v>
      </c>
      <c r="B338" s="45">
        <v>45416</v>
      </c>
      <c r="C338" s="1" t="s">
        <v>573</v>
      </c>
      <c r="D338" s="41" t="s">
        <v>1374</v>
      </c>
      <c r="E338" s="1">
        <v>2024</v>
      </c>
      <c r="F338" s="1" t="s">
        <v>35</v>
      </c>
      <c r="G338" s="60" t="s">
        <v>54</v>
      </c>
      <c r="H338" s="2" t="s">
        <v>37</v>
      </c>
      <c r="I338" s="2" t="s">
        <v>38</v>
      </c>
      <c r="J338" s="2" t="s">
        <v>590</v>
      </c>
      <c r="K338" s="1">
        <v>7</v>
      </c>
      <c r="L338" s="37">
        <v>28.89</v>
      </c>
      <c r="M338" s="3">
        <v>5</v>
      </c>
      <c r="N338" s="37">
        <v>202.23</v>
      </c>
      <c r="O338" s="37">
        <v>10.11</v>
      </c>
      <c r="P338" s="53">
        <v>192.12</v>
      </c>
      <c r="Q338" s="37">
        <v>71.86</v>
      </c>
      <c r="R338" s="37">
        <v>120.26</v>
      </c>
      <c r="S338" s="3">
        <v>62.6</v>
      </c>
      <c r="T338" s="1" t="s">
        <v>27</v>
      </c>
      <c r="U338" s="15">
        <v>5</v>
      </c>
    </row>
    <row r="339" spans="1:21" x14ac:dyDescent="0.3">
      <c r="A339" s="14" t="s">
        <v>591</v>
      </c>
      <c r="B339" s="46">
        <v>45416</v>
      </c>
      <c r="C339" s="4" t="s">
        <v>573</v>
      </c>
      <c r="D339" s="42" t="s">
        <v>1374</v>
      </c>
      <c r="E339" s="4">
        <v>2024</v>
      </c>
      <c r="F339" s="4" t="s">
        <v>22</v>
      </c>
      <c r="G339" s="61" t="s">
        <v>91</v>
      </c>
      <c r="H339" s="5" t="s">
        <v>24</v>
      </c>
      <c r="I339" s="5" t="s">
        <v>31</v>
      </c>
      <c r="J339" s="5" t="s">
        <v>592</v>
      </c>
      <c r="K339" s="4">
        <v>2</v>
      </c>
      <c r="L339" s="38">
        <v>87.7</v>
      </c>
      <c r="M339" s="6">
        <v>15</v>
      </c>
      <c r="N339" s="38">
        <v>175.4</v>
      </c>
      <c r="O339" s="38">
        <v>26.31</v>
      </c>
      <c r="P339" s="54">
        <v>149.09</v>
      </c>
      <c r="Q339" s="38">
        <v>53.87</v>
      </c>
      <c r="R339" s="38">
        <v>95.22</v>
      </c>
      <c r="S339" s="6">
        <v>63.9</v>
      </c>
      <c r="T339" s="4" t="s">
        <v>44</v>
      </c>
      <c r="U339" s="16">
        <v>4</v>
      </c>
    </row>
    <row r="340" spans="1:21" x14ac:dyDescent="0.3">
      <c r="A340" s="13" t="s">
        <v>593</v>
      </c>
      <c r="B340" s="45">
        <v>45416</v>
      </c>
      <c r="C340" s="1" t="s">
        <v>573</v>
      </c>
      <c r="D340" s="41" t="s">
        <v>1374</v>
      </c>
      <c r="E340" s="1">
        <v>2024</v>
      </c>
      <c r="F340" s="1" t="s">
        <v>53</v>
      </c>
      <c r="G340" s="60" t="s">
        <v>30</v>
      </c>
      <c r="H340" s="2" t="s">
        <v>59</v>
      </c>
      <c r="I340" s="2" t="s">
        <v>55</v>
      </c>
      <c r="J340" s="2" t="s">
        <v>399</v>
      </c>
      <c r="K340" s="1">
        <v>2</v>
      </c>
      <c r="L340" s="37">
        <v>758.98</v>
      </c>
      <c r="M340" s="3">
        <v>0</v>
      </c>
      <c r="N340" s="37">
        <v>1517.96</v>
      </c>
      <c r="O340" s="37">
        <v>0</v>
      </c>
      <c r="P340" s="53">
        <v>1517.96</v>
      </c>
      <c r="Q340" s="37">
        <v>706.3</v>
      </c>
      <c r="R340" s="37">
        <v>811.66</v>
      </c>
      <c r="S340" s="3">
        <v>53.5</v>
      </c>
      <c r="T340" s="1" t="s">
        <v>33</v>
      </c>
      <c r="U340" s="15">
        <v>3</v>
      </c>
    </row>
    <row r="341" spans="1:21" x14ac:dyDescent="0.3">
      <c r="A341" s="14" t="s">
        <v>594</v>
      </c>
      <c r="B341" s="46">
        <v>45416</v>
      </c>
      <c r="C341" s="4" t="s">
        <v>573</v>
      </c>
      <c r="D341" s="42" t="s">
        <v>1374</v>
      </c>
      <c r="E341" s="4">
        <v>2024</v>
      </c>
      <c r="F341" s="4" t="s">
        <v>41</v>
      </c>
      <c r="G341" s="61" t="s">
        <v>54</v>
      </c>
      <c r="H341" s="5" t="s">
        <v>24</v>
      </c>
      <c r="I341" s="5" t="s">
        <v>47</v>
      </c>
      <c r="J341" s="5" t="s">
        <v>595</v>
      </c>
      <c r="K341" s="4">
        <v>13</v>
      </c>
      <c r="L341" s="38">
        <v>424.45</v>
      </c>
      <c r="M341" s="6">
        <v>20</v>
      </c>
      <c r="N341" s="38">
        <v>5517.85</v>
      </c>
      <c r="O341" s="38">
        <v>1103.57</v>
      </c>
      <c r="P341" s="54">
        <v>4414.28</v>
      </c>
      <c r="Q341" s="38">
        <v>2848.69</v>
      </c>
      <c r="R341" s="38">
        <v>1565.59</v>
      </c>
      <c r="S341" s="6">
        <v>35.5</v>
      </c>
      <c r="T341" s="4" t="s">
        <v>33</v>
      </c>
      <c r="U341" s="16">
        <v>1</v>
      </c>
    </row>
    <row r="342" spans="1:21" x14ac:dyDescent="0.3">
      <c r="A342" s="13" t="s">
        <v>596</v>
      </c>
      <c r="B342" s="45">
        <v>45417</v>
      </c>
      <c r="C342" s="1" t="s">
        <v>573</v>
      </c>
      <c r="D342" s="41" t="s">
        <v>1374</v>
      </c>
      <c r="E342" s="1">
        <v>2024</v>
      </c>
      <c r="F342" s="1" t="s">
        <v>35</v>
      </c>
      <c r="G342" s="60" t="s">
        <v>46</v>
      </c>
      <c r="H342" s="2" t="s">
        <v>37</v>
      </c>
      <c r="I342" s="2" t="s">
        <v>47</v>
      </c>
      <c r="J342" s="2" t="s">
        <v>597</v>
      </c>
      <c r="K342" s="1">
        <v>17</v>
      </c>
      <c r="L342" s="37">
        <v>304.99</v>
      </c>
      <c r="M342" s="3">
        <v>10</v>
      </c>
      <c r="N342" s="37">
        <v>5184.83</v>
      </c>
      <c r="O342" s="37">
        <v>518.48</v>
      </c>
      <c r="P342" s="53">
        <v>4666.3500000000004</v>
      </c>
      <c r="Q342" s="37">
        <v>2492.7199999999998</v>
      </c>
      <c r="R342" s="37">
        <v>2173.63</v>
      </c>
      <c r="S342" s="3">
        <v>46.6</v>
      </c>
      <c r="T342" s="1" t="s">
        <v>33</v>
      </c>
      <c r="U342" s="15">
        <v>5</v>
      </c>
    </row>
    <row r="343" spans="1:21" x14ac:dyDescent="0.3">
      <c r="A343" s="14" t="s">
        <v>598</v>
      </c>
      <c r="B343" s="46">
        <v>45417</v>
      </c>
      <c r="C343" s="4" t="s">
        <v>573</v>
      </c>
      <c r="D343" s="42" t="s">
        <v>1374</v>
      </c>
      <c r="E343" s="4">
        <v>2024</v>
      </c>
      <c r="F343" s="4" t="s">
        <v>35</v>
      </c>
      <c r="G343" s="61" t="s">
        <v>54</v>
      </c>
      <c r="H343" s="5" t="s">
        <v>50</v>
      </c>
      <c r="I343" s="5" t="s">
        <v>38</v>
      </c>
      <c r="J343" s="5" t="s">
        <v>599</v>
      </c>
      <c r="K343" s="4">
        <v>10</v>
      </c>
      <c r="L343" s="38">
        <v>43.05</v>
      </c>
      <c r="M343" s="6">
        <v>10</v>
      </c>
      <c r="N343" s="38">
        <v>430.5</v>
      </c>
      <c r="O343" s="38">
        <v>43.05</v>
      </c>
      <c r="P343" s="54">
        <v>387.45</v>
      </c>
      <c r="Q343" s="38">
        <v>196.17</v>
      </c>
      <c r="R343" s="38">
        <v>191.28</v>
      </c>
      <c r="S343" s="6">
        <v>49.4</v>
      </c>
      <c r="T343" s="4" t="s">
        <v>44</v>
      </c>
      <c r="U343" s="16">
        <v>1</v>
      </c>
    </row>
    <row r="344" spans="1:21" x14ac:dyDescent="0.3">
      <c r="A344" s="13" t="s">
        <v>600</v>
      </c>
      <c r="B344" s="45">
        <v>45417</v>
      </c>
      <c r="C344" s="1" t="s">
        <v>573</v>
      </c>
      <c r="D344" s="41" t="s">
        <v>1374</v>
      </c>
      <c r="E344" s="1">
        <v>2024</v>
      </c>
      <c r="F344" s="1" t="s">
        <v>22</v>
      </c>
      <c r="G344" s="60" t="s">
        <v>36</v>
      </c>
      <c r="H344" s="2" t="s">
        <v>50</v>
      </c>
      <c r="I344" s="2" t="s">
        <v>75</v>
      </c>
      <c r="J344" s="2" t="s">
        <v>326</v>
      </c>
      <c r="K344" s="1">
        <v>17</v>
      </c>
      <c r="L344" s="37">
        <v>216.14</v>
      </c>
      <c r="M344" s="3">
        <v>0</v>
      </c>
      <c r="N344" s="37">
        <v>3674.38</v>
      </c>
      <c r="O344" s="37">
        <v>0</v>
      </c>
      <c r="P344" s="53">
        <v>3674.38</v>
      </c>
      <c r="Q344" s="37">
        <v>2070.4499999999998</v>
      </c>
      <c r="R344" s="37">
        <v>1603.93</v>
      </c>
      <c r="S344" s="3">
        <v>43.7</v>
      </c>
      <c r="T344" s="1" t="s">
        <v>27</v>
      </c>
      <c r="U344" s="15">
        <v>2</v>
      </c>
    </row>
    <row r="345" spans="1:21" x14ac:dyDescent="0.3">
      <c r="A345" s="14" t="s">
        <v>601</v>
      </c>
      <c r="B345" s="46">
        <v>45417</v>
      </c>
      <c r="C345" s="4" t="s">
        <v>573</v>
      </c>
      <c r="D345" s="42" t="s">
        <v>1374</v>
      </c>
      <c r="E345" s="4">
        <v>2024</v>
      </c>
      <c r="F345" s="4" t="s">
        <v>29</v>
      </c>
      <c r="G345" s="61" t="s">
        <v>42</v>
      </c>
      <c r="H345" s="5" t="s">
        <v>50</v>
      </c>
      <c r="I345" s="5" t="s">
        <v>31</v>
      </c>
      <c r="J345" s="5" t="s">
        <v>477</v>
      </c>
      <c r="K345" s="4">
        <v>14</v>
      </c>
      <c r="L345" s="38">
        <v>105.62</v>
      </c>
      <c r="M345" s="6">
        <v>10</v>
      </c>
      <c r="N345" s="38">
        <v>1478.68</v>
      </c>
      <c r="O345" s="38">
        <v>147.87</v>
      </c>
      <c r="P345" s="54">
        <v>1330.81</v>
      </c>
      <c r="Q345" s="38">
        <v>704.32</v>
      </c>
      <c r="R345" s="38">
        <v>626.49</v>
      </c>
      <c r="S345" s="6">
        <v>47.1</v>
      </c>
      <c r="T345" s="4" t="s">
        <v>44</v>
      </c>
      <c r="U345" s="16">
        <v>5</v>
      </c>
    </row>
    <row r="346" spans="1:21" x14ac:dyDescent="0.3">
      <c r="A346" s="13" t="s">
        <v>602</v>
      </c>
      <c r="B346" s="45">
        <v>45417</v>
      </c>
      <c r="C346" s="1" t="s">
        <v>573</v>
      </c>
      <c r="D346" s="41" t="s">
        <v>1374</v>
      </c>
      <c r="E346" s="1">
        <v>2024</v>
      </c>
      <c r="F346" s="1" t="s">
        <v>29</v>
      </c>
      <c r="G346" s="60" t="s">
        <v>66</v>
      </c>
      <c r="H346" s="2" t="s">
        <v>50</v>
      </c>
      <c r="I346" s="2" t="s">
        <v>31</v>
      </c>
      <c r="J346" s="2" t="s">
        <v>288</v>
      </c>
      <c r="K346" s="1">
        <v>14</v>
      </c>
      <c r="L346" s="37">
        <v>119.14</v>
      </c>
      <c r="M346" s="3">
        <v>0</v>
      </c>
      <c r="N346" s="37">
        <v>1667.96</v>
      </c>
      <c r="O346" s="37">
        <v>0</v>
      </c>
      <c r="P346" s="53">
        <v>1667.96</v>
      </c>
      <c r="Q346" s="37">
        <v>1057.01</v>
      </c>
      <c r="R346" s="37">
        <v>610.95000000000005</v>
      </c>
      <c r="S346" s="3">
        <v>36.6</v>
      </c>
      <c r="T346" s="1" t="s">
        <v>44</v>
      </c>
      <c r="U346" s="15">
        <v>1</v>
      </c>
    </row>
    <row r="347" spans="1:21" x14ac:dyDescent="0.3">
      <c r="A347" s="14" t="s">
        <v>603</v>
      </c>
      <c r="B347" s="46">
        <v>45418</v>
      </c>
      <c r="C347" s="4" t="s">
        <v>573</v>
      </c>
      <c r="D347" s="42" t="s">
        <v>1374</v>
      </c>
      <c r="E347" s="4">
        <v>2024</v>
      </c>
      <c r="F347" s="4" t="s">
        <v>41</v>
      </c>
      <c r="G347" s="61" t="s">
        <v>91</v>
      </c>
      <c r="H347" s="5" t="s">
        <v>24</v>
      </c>
      <c r="I347" s="5" t="s">
        <v>31</v>
      </c>
      <c r="J347" s="5" t="s">
        <v>562</v>
      </c>
      <c r="K347" s="4">
        <v>13</v>
      </c>
      <c r="L347" s="38">
        <v>102.86</v>
      </c>
      <c r="M347" s="6">
        <v>15</v>
      </c>
      <c r="N347" s="38">
        <v>1337.18</v>
      </c>
      <c r="O347" s="38">
        <v>200.58</v>
      </c>
      <c r="P347" s="54">
        <v>1136.5999999999999</v>
      </c>
      <c r="Q347" s="38">
        <v>677.49</v>
      </c>
      <c r="R347" s="38">
        <v>459.11</v>
      </c>
      <c r="S347" s="6">
        <v>40.4</v>
      </c>
      <c r="T347" s="4" t="s">
        <v>44</v>
      </c>
      <c r="U347" s="16">
        <v>2</v>
      </c>
    </row>
    <row r="348" spans="1:21" x14ac:dyDescent="0.3">
      <c r="A348" s="13" t="s">
        <v>604</v>
      </c>
      <c r="B348" s="45">
        <v>45418</v>
      </c>
      <c r="C348" s="1" t="s">
        <v>573</v>
      </c>
      <c r="D348" s="41" t="s">
        <v>1374</v>
      </c>
      <c r="E348" s="1">
        <v>2024</v>
      </c>
      <c r="F348" s="1" t="s">
        <v>53</v>
      </c>
      <c r="G348" s="60" t="s">
        <v>23</v>
      </c>
      <c r="H348" s="2" t="s">
        <v>50</v>
      </c>
      <c r="I348" s="2" t="s">
        <v>25</v>
      </c>
      <c r="J348" s="2" t="s">
        <v>147</v>
      </c>
      <c r="K348" s="1">
        <v>3</v>
      </c>
      <c r="L348" s="37">
        <v>12.33</v>
      </c>
      <c r="M348" s="3">
        <v>0</v>
      </c>
      <c r="N348" s="37">
        <v>36.99</v>
      </c>
      <c r="O348" s="37">
        <v>0</v>
      </c>
      <c r="P348" s="53">
        <v>36.99</v>
      </c>
      <c r="Q348" s="37">
        <v>20.05</v>
      </c>
      <c r="R348" s="37">
        <v>16.940000000000001</v>
      </c>
      <c r="S348" s="3">
        <v>45.8</v>
      </c>
      <c r="T348" s="1" t="s">
        <v>44</v>
      </c>
      <c r="U348" s="15">
        <v>1</v>
      </c>
    </row>
    <row r="349" spans="1:21" x14ac:dyDescent="0.3">
      <c r="A349" s="14" t="s">
        <v>605</v>
      </c>
      <c r="B349" s="46">
        <v>45418</v>
      </c>
      <c r="C349" s="4" t="s">
        <v>573</v>
      </c>
      <c r="D349" s="42" t="s">
        <v>1374</v>
      </c>
      <c r="E349" s="4">
        <v>2024</v>
      </c>
      <c r="F349" s="4" t="s">
        <v>22</v>
      </c>
      <c r="G349" s="61" t="s">
        <v>42</v>
      </c>
      <c r="H349" s="5" t="s">
        <v>59</v>
      </c>
      <c r="I349" s="5" t="s">
        <v>47</v>
      </c>
      <c r="J349" s="5" t="s">
        <v>129</v>
      </c>
      <c r="K349" s="4">
        <v>18</v>
      </c>
      <c r="L349" s="38">
        <v>179</v>
      </c>
      <c r="M349" s="6">
        <v>15</v>
      </c>
      <c r="N349" s="38">
        <v>3222</v>
      </c>
      <c r="O349" s="38">
        <v>483.3</v>
      </c>
      <c r="P349" s="54">
        <v>2738.7</v>
      </c>
      <c r="Q349" s="38">
        <v>1319.21</v>
      </c>
      <c r="R349" s="38">
        <v>1419.49</v>
      </c>
      <c r="S349" s="6">
        <v>51.8</v>
      </c>
      <c r="T349" s="4" t="s">
        <v>27</v>
      </c>
      <c r="U349" s="16">
        <v>3</v>
      </c>
    </row>
    <row r="350" spans="1:21" x14ac:dyDescent="0.3">
      <c r="A350" s="13" t="s">
        <v>606</v>
      </c>
      <c r="B350" s="45">
        <v>45418</v>
      </c>
      <c r="C350" s="1" t="s">
        <v>573</v>
      </c>
      <c r="D350" s="41" t="s">
        <v>1374</v>
      </c>
      <c r="E350" s="1">
        <v>2024</v>
      </c>
      <c r="F350" s="1" t="s">
        <v>53</v>
      </c>
      <c r="G350" s="60" t="s">
        <v>54</v>
      </c>
      <c r="H350" s="2" t="s">
        <v>50</v>
      </c>
      <c r="I350" s="2" t="s">
        <v>25</v>
      </c>
      <c r="J350" s="2" t="s">
        <v>607</v>
      </c>
      <c r="K350" s="1">
        <v>18</v>
      </c>
      <c r="L350" s="37">
        <v>25.34</v>
      </c>
      <c r="M350" s="3">
        <v>20</v>
      </c>
      <c r="N350" s="37">
        <v>456.12</v>
      </c>
      <c r="O350" s="37">
        <v>91.22</v>
      </c>
      <c r="P350" s="53">
        <v>364.9</v>
      </c>
      <c r="Q350" s="37">
        <v>149.80000000000001</v>
      </c>
      <c r="R350" s="37">
        <v>215.1</v>
      </c>
      <c r="S350" s="3">
        <v>58.9</v>
      </c>
      <c r="T350" s="1" t="s">
        <v>44</v>
      </c>
      <c r="U350" s="15">
        <v>4</v>
      </c>
    </row>
    <row r="351" spans="1:21" x14ac:dyDescent="0.3">
      <c r="A351" s="14" t="s">
        <v>608</v>
      </c>
      <c r="B351" s="46">
        <v>45418</v>
      </c>
      <c r="C351" s="4" t="s">
        <v>573</v>
      </c>
      <c r="D351" s="42" t="s">
        <v>1374</v>
      </c>
      <c r="E351" s="4">
        <v>2024</v>
      </c>
      <c r="F351" s="4" t="s">
        <v>29</v>
      </c>
      <c r="G351" s="61" t="s">
        <v>46</v>
      </c>
      <c r="H351" s="5" t="s">
        <v>24</v>
      </c>
      <c r="I351" s="5" t="s">
        <v>25</v>
      </c>
      <c r="J351" s="5" t="s">
        <v>183</v>
      </c>
      <c r="K351" s="4">
        <v>20</v>
      </c>
      <c r="L351" s="38">
        <v>68.319999999999993</v>
      </c>
      <c r="M351" s="6">
        <v>0</v>
      </c>
      <c r="N351" s="38">
        <v>1366.4</v>
      </c>
      <c r="O351" s="38">
        <v>0</v>
      </c>
      <c r="P351" s="54">
        <v>1366.4</v>
      </c>
      <c r="Q351" s="38">
        <v>747.51</v>
      </c>
      <c r="R351" s="38">
        <v>618.89</v>
      </c>
      <c r="S351" s="6">
        <v>45.3</v>
      </c>
      <c r="T351" s="4" t="s">
        <v>33</v>
      </c>
      <c r="U351" s="16">
        <v>2</v>
      </c>
    </row>
    <row r="352" spans="1:21" x14ac:dyDescent="0.3">
      <c r="A352" s="13" t="s">
        <v>609</v>
      </c>
      <c r="B352" s="45">
        <v>45419</v>
      </c>
      <c r="C352" s="1" t="s">
        <v>573</v>
      </c>
      <c r="D352" s="41" t="s">
        <v>1374</v>
      </c>
      <c r="E352" s="1">
        <v>2024</v>
      </c>
      <c r="F352" s="1" t="s">
        <v>29</v>
      </c>
      <c r="G352" s="60" t="s">
        <v>122</v>
      </c>
      <c r="H352" s="2" t="s">
        <v>37</v>
      </c>
      <c r="I352" s="2" t="s">
        <v>47</v>
      </c>
      <c r="J352" s="2" t="s">
        <v>610</v>
      </c>
      <c r="K352" s="1">
        <v>5</v>
      </c>
      <c r="L352" s="37">
        <v>167.69</v>
      </c>
      <c r="M352" s="3">
        <v>0</v>
      </c>
      <c r="N352" s="37">
        <v>838.45</v>
      </c>
      <c r="O352" s="37">
        <v>0</v>
      </c>
      <c r="P352" s="53">
        <v>838.45</v>
      </c>
      <c r="Q352" s="37">
        <v>495.67</v>
      </c>
      <c r="R352" s="37">
        <v>342.78</v>
      </c>
      <c r="S352" s="3">
        <v>40.9</v>
      </c>
      <c r="T352" s="1" t="s">
        <v>44</v>
      </c>
      <c r="U352" s="15">
        <v>5</v>
      </c>
    </row>
    <row r="353" spans="1:21" x14ac:dyDescent="0.3">
      <c r="A353" s="14" t="s">
        <v>611</v>
      </c>
      <c r="B353" s="46">
        <v>45419</v>
      </c>
      <c r="C353" s="4" t="s">
        <v>573</v>
      </c>
      <c r="D353" s="42" t="s">
        <v>1374</v>
      </c>
      <c r="E353" s="4">
        <v>2024</v>
      </c>
      <c r="F353" s="4" t="s">
        <v>22</v>
      </c>
      <c r="G353" s="61" t="s">
        <v>23</v>
      </c>
      <c r="H353" s="5" t="s">
        <v>50</v>
      </c>
      <c r="I353" s="5" t="s">
        <v>31</v>
      </c>
      <c r="J353" s="5" t="s">
        <v>225</v>
      </c>
      <c r="K353" s="4">
        <v>9</v>
      </c>
      <c r="L353" s="38">
        <v>181.27</v>
      </c>
      <c r="M353" s="6">
        <v>15</v>
      </c>
      <c r="N353" s="38">
        <v>1631.43</v>
      </c>
      <c r="O353" s="38">
        <v>244.71</v>
      </c>
      <c r="P353" s="54">
        <v>1386.72</v>
      </c>
      <c r="Q353" s="38">
        <v>604.34</v>
      </c>
      <c r="R353" s="38">
        <v>782.38</v>
      </c>
      <c r="S353" s="6">
        <v>56.4</v>
      </c>
      <c r="T353" s="4" t="s">
        <v>33</v>
      </c>
      <c r="U353" s="16">
        <v>4</v>
      </c>
    </row>
    <row r="354" spans="1:21" x14ac:dyDescent="0.3">
      <c r="A354" s="13" t="s">
        <v>612</v>
      </c>
      <c r="B354" s="45">
        <v>45419</v>
      </c>
      <c r="C354" s="1" t="s">
        <v>573</v>
      </c>
      <c r="D354" s="41" t="s">
        <v>1374</v>
      </c>
      <c r="E354" s="1">
        <v>2024</v>
      </c>
      <c r="F354" s="1" t="s">
        <v>29</v>
      </c>
      <c r="G354" s="60" t="s">
        <v>46</v>
      </c>
      <c r="H354" s="2" t="s">
        <v>50</v>
      </c>
      <c r="I354" s="2" t="s">
        <v>47</v>
      </c>
      <c r="J354" s="2" t="s">
        <v>495</v>
      </c>
      <c r="K354" s="1">
        <v>3</v>
      </c>
      <c r="L354" s="37">
        <v>438.61</v>
      </c>
      <c r="M354" s="3">
        <v>0</v>
      </c>
      <c r="N354" s="37">
        <v>1315.83</v>
      </c>
      <c r="O354" s="37">
        <v>0</v>
      </c>
      <c r="P354" s="53">
        <v>1315.83</v>
      </c>
      <c r="Q354" s="37">
        <v>473.81</v>
      </c>
      <c r="R354" s="37">
        <v>842.02</v>
      </c>
      <c r="S354" s="3">
        <v>64</v>
      </c>
      <c r="T354" s="1" t="s">
        <v>27</v>
      </c>
      <c r="U354" s="15">
        <v>1</v>
      </c>
    </row>
    <row r="355" spans="1:21" x14ac:dyDescent="0.3">
      <c r="A355" s="14" t="s">
        <v>613</v>
      </c>
      <c r="B355" s="46">
        <v>45419</v>
      </c>
      <c r="C355" s="4" t="s">
        <v>573</v>
      </c>
      <c r="D355" s="42" t="s">
        <v>1374</v>
      </c>
      <c r="E355" s="4">
        <v>2024</v>
      </c>
      <c r="F355" s="4" t="s">
        <v>29</v>
      </c>
      <c r="G355" s="61" t="s">
        <v>66</v>
      </c>
      <c r="H355" s="5" t="s">
        <v>59</v>
      </c>
      <c r="I355" s="5" t="s">
        <v>75</v>
      </c>
      <c r="J355" s="5" t="s">
        <v>76</v>
      </c>
      <c r="K355" s="4">
        <v>10</v>
      </c>
      <c r="L355" s="38">
        <v>260.97000000000003</v>
      </c>
      <c r="M355" s="6">
        <v>5</v>
      </c>
      <c r="N355" s="38">
        <v>2609.6999999999998</v>
      </c>
      <c r="O355" s="38">
        <v>130.47999999999999</v>
      </c>
      <c r="P355" s="54">
        <v>2479.2199999999998</v>
      </c>
      <c r="Q355" s="38">
        <v>1313.63</v>
      </c>
      <c r="R355" s="38">
        <v>1165.5899999999999</v>
      </c>
      <c r="S355" s="6">
        <v>47</v>
      </c>
      <c r="T355" s="4" t="s">
        <v>27</v>
      </c>
      <c r="U355" s="16">
        <v>2</v>
      </c>
    </row>
    <row r="356" spans="1:21" x14ac:dyDescent="0.3">
      <c r="A356" s="13" t="s">
        <v>614</v>
      </c>
      <c r="B356" s="45">
        <v>45419</v>
      </c>
      <c r="C356" s="1" t="s">
        <v>573</v>
      </c>
      <c r="D356" s="41" t="s">
        <v>1374</v>
      </c>
      <c r="E356" s="1">
        <v>2024</v>
      </c>
      <c r="F356" s="1" t="s">
        <v>41</v>
      </c>
      <c r="G356" s="60" t="s">
        <v>91</v>
      </c>
      <c r="H356" s="2" t="s">
        <v>59</v>
      </c>
      <c r="I356" s="2" t="s">
        <v>47</v>
      </c>
      <c r="J356" s="2" t="s">
        <v>615</v>
      </c>
      <c r="K356" s="1">
        <v>3</v>
      </c>
      <c r="L356" s="37">
        <v>306.52</v>
      </c>
      <c r="M356" s="3">
        <v>5</v>
      </c>
      <c r="N356" s="37">
        <v>919.56</v>
      </c>
      <c r="O356" s="37">
        <v>45.98</v>
      </c>
      <c r="P356" s="53">
        <v>873.58</v>
      </c>
      <c r="Q356" s="37">
        <v>440.93</v>
      </c>
      <c r="R356" s="37">
        <v>432.65</v>
      </c>
      <c r="S356" s="3">
        <v>49.5</v>
      </c>
      <c r="T356" s="1" t="s">
        <v>27</v>
      </c>
      <c r="U356" s="15">
        <v>4</v>
      </c>
    </row>
    <row r="357" spans="1:21" x14ac:dyDescent="0.3">
      <c r="A357" s="14" t="s">
        <v>616</v>
      </c>
      <c r="B357" s="46">
        <v>45419</v>
      </c>
      <c r="C357" s="4" t="s">
        <v>573</v>
      </c>
      <c r="D357" s="42" t="s">
        <v>1374</v>
      </c>
      <c r="E357" s="4">
        <v>2024</v>
      </c>
      <c r="F357" s="4" t="s">
        <v>41</v>
      </c>
      <c r="G357" s="61" t="s">
        <v>36</v>
      </c>
      <c r="H357" s="5" t="s">
        <v>24</v>
      </c>
      <c r="I357" s="5" t="s">
        <v>38</v>
      </c>
      <c r="J357" s="5" t="s">
        <v>81</v>
      </c>
      <c r="K357" s="4">
        <v>17</v>
      </c>
      <c r="L357" s="38">
        <v>24.91</v>
      </c>
      <c r="M357" s="6">
        <v>5</v>
      </c>
      <c r="N357" s="38">
        <v>423.47</v>
      </c>
      <c r="O357" s="38">
        <v>21.17</v>
      </c>
      <c r="P357" s="54">
        <v>402.3</v>
      </c>
      <c r="Q357" s="38">
        <v>168.77</v>
      </c>
      <c r="R357" s="38">
        <v>233.53</v>
      </c>
      <c r="S357" s="6">
        <v>58</v>
      </c>
      <c r="T357" s="4" t="s">
        <v>33</v>
      </c>
      <c r="U357" s="16">
        <v>4</v>
      </c>
    </row>
    <row r="358" spans="1:21" x14ac:dyDescent="0.3">
      <c r="A358" s="13" t="s">
        <v>617</v>
      </c>
      <c r="B358" s="45">
        <v>45420</v>
      </c>
      <c r="C358" s="1" t="s">
        <v>573</v>
      </c>
      <c r="D358" s="41" t="s">
        <v>1374</v>
      </c>
      <c r="E358" s="1">
        <v>2024</v>
      </c>
      <c r="F358" s="1" t="s">
        <v>29</v>
      </c>
      <c r="G358" s="60" t="s">
        <v>30</v>
      </c>
      <c r="H358" s="2" t="s">
        <v>50</v>
      </c>
      <c r="I358" s="2" t="s">
        <v>47</v>
      </c>
      <c r="J358" s="2" t="s">
        <v>179</v>
      </c>
      <c r="K358" s="1">
        <v>7</v>
      </c>
      <c r="L358" s="37">
        <v>334.68</v>
      </c>
      <c r="M358" s="3">
        <v>0</v>
      </c>
      <c r="N358" s="37">
        <v>2342.7600000000002</v>
      </c>
      <c r="O358" s="37">
        <v>0</v>
      </c>
      <c r="P358" s="53">
        <v>2342.7600000000002</v>
      </c>
      <c r="Q358" s="37">
        <v>939.08</v>
      </c>
      <c r="R358" s="37">
        <v>1403.68</v>
      </c>
      <c r="S358" s="3">
        <v>59.9</v>
      </c>
      <c r="T358" s="1" t="s">
        <v>44</v>
      </c>
      <c r="U358" s="15">
        <v>1</v>
      </c>
    </row>
    <row r="359" spans="1:21" x14ac:dyDescent="0.3">
      <c r="A359" s="14" t="s">
        <v>618</v>
      </c>
      <c r="B359" s="46">
        <v>45420</v>
      </c>
      <c r="C359" s="4" t="s">
        <v>573</v>
      </c>
      <c r="D359" s="42" t="s">
        <v>1374</v>
      </c>
      <c r="E359" s="4">
        <v>2024</v>
      </c>
      <c r="F359" s="4" t="s">
        <v>22</v>
      </c>
      <c r="G359" s="61" t="s">
        <v>66</v>
      </c>
      <c r="H359" s="5" t="s">
        <v>37</v>
      </c>
      <c r="I359" s="5" t="s">
        <v>55</v>
      </c>
      <c r="J359" s="5" t="s">
        <v>619</v>
      </c>
      <c r="K359" s="4">
        <v>5</v>
      </c>
      <c r="L359" s="38">
        <v>1167.8699999999999</v>
      </c>
      <c r="M359" s="6">
        <v>10</v>
      </c>
      <c r="N359" s="38">
        <v>5839.35</v>
      </c>
      <c r="O359" s="38">
        <v>583.94000000000005</v>
      </c>
      <c r="P359" s="54">
        <v>5255.41</v>
      </c>
      <c r="Q359" s="38">
        <v>1896.25</v>
      </c>
      <c r="R359" s="38">
        <v>3359.16</v>
      </c>
      <c r="S359" s="6">
        <v>63.9</v>
      </c>
      <c r="T359" s="4" t="s">
        <v>27</v>
      </c>
      <c r="U359" s="16">
        <v>3</v>
      </c>
    </row>
    <row r="360" spans="1:21" x14ac:dyDescent="0.3">
      <c r="A360" s="13" t="s">
        <v>620</v>
      </c>
      <c r="B360" s="45">
        <v>45420</v>
      </c>
      <c r="C360" s="1" t="s">
        <v>573</v>
      </c>
      <c r="D360" s="41" t="s">
        <v>1374</v>
      </c>
      <c r="E360" s="1">
        <v>2024</v>
      </c>
      <c r="F360" s="1" t="s">
        <v>22</v>
      </c>
      <c r="G360" s="60" t="s">
        <v>36</v>
      </c>
      <c r="H360" s="2" t="s">
        <v>37</v>
      </c>
      <c r="I360" s="2" t="s">
        <v>75</v>
      </c>
      <c r="J360" s="2" t="s">
        <v>153</v>
      </c>
      <c r="K360" s="1">
        <v>18</v>
      </c>
      <c r="L360" s="37">
        <v>241.93</v>
      </c>
      <c r="M360" s="3">
        <v>0</v>
      </c>
      <c r="N360" s="37">
        <v>4354.74</v>
      </c>
      <c r="O360" s="37">
        <v>0</v>
      </c>
      <c r="P360" s="53">
        <v>4354.74</v>
      </c>
      <c r="Q360" s="37">
        <v>1836.73</v>
      </c>
      <c r="R360" s="37">
        <v>2518.0100000000002</v>
      </c>
      <c r="S360" s="3">
        <v>57.8</v>
      </c>
      <c r="T360" s="1" t="s">
        <v>27</v>
      </c>
      <c r="U360" s="15">
        <v>4</v>
      </c>
    </row>
    <row r="361" spans="1:21" x14ac:dyDescent="0.3">
      <c r="A361" s="14" t="s">
        <v>621</v>
      </c>
      <c r="B361" s="46">
        <v>45421</v>
      </c>
      <c r="C361" s="4" t="s">
        <v>573</v>
      </c>
      <c r="D361" s="42" t="s">
        <v>1374</v>
      </c>
      <c r="E361" s="4">
        <v>2024</v>
      </c>
      <c r="F361" s="4" t="s">
        <v>29</v>
      </c>
      <c r="G361" s="61" t="s">
        <v>42</v>
      </c>
      <c r="H361" s="5" t="s">
        <v>50</v>
      </c>
      <c r="I361" s="5" t="s">
        <v>55</v>
      </c>
      <c r="J361" s="5" t="s">
        <v>622</v>
      </c>
      <c r="K361" s="4">
        <v>11</v>
      </c>
      <c r="L361" s="38">
        <v>311.67</v>
      </c>
      <c r="M361" s="6">
        <v>5</v>
      </c>
      <c r="N361" s="38">
        <v>3428.37</v>
      </c>
      <c r="O361" s="38">
        <v>171.42</v>
      </c>
      <c r="P361" s="54">
        <v>3256.95</v>
      </c>
      <c r="Q361" s="38">
        <v>1140.21</v>
      </c>
      <c r="R361" s="38">
        <v>2116.7399999999998</v>
      </c>
      <c r="S361" s="6">
        <v>65</v>
      </c>
      <c r="T361" s="4" t="s">
        <v>27</v>
      </c>
      <c r="U361" s="16">
        <v>4</v>
      </c>
    </row>
    <row r="362" spans="1:21" x14ac:dyDescent="0.3">
      <c r="A362" s="13" t="s">
        <v>623</v>
      </c>
      <c r="B362" s="45">
        <v>45421</v>
      </c>
      <c r="C362" s="1" t="s">
        <v>573</v>
      </c>
      <c r="D362" s="41" t="s">
        <v>1374</v>
      </c>
      <c r="E362" s="1">
        <v>2024</v>
      </c>
      <c r="F362" s="1" t="s">
        <v>29</v>
      </c>
      <c r="G362" s="60" t="s">
        <v>122</v>
      </c>
      <c r="H362" s="2" t="s">
        <v>59</v>
      </c>
      <c r="I362" s="2" t="s">
        <v>31</v>
      </c>
      <c r="J362" s="2" t="s">
        <v>145</v>
      </c>
      <c r="K362" s="1">
        <v>13</v>
      </c>
      <c r="L362" s="37">
        <v>24.5</v>
      </c>
      <c r="M362" s="3">
        <v>15</v>
      </c>
      <c r="N362" s="37">
        <v>318.5</v>
      </c>
      <c r="O362" s="37">
        <v>47.77</v>
      </c>
      <c r="P362" s="53">
        <v>270.73</v>
      </c>
      <c r="Q362" s="37">
        <v>107.54</v>
      </c>
      <c r="R362" s="37">
        <v>163.19</v>
      </c>
      <c r="S362" s="3">
        <v>60.3</v>
      </c>
      <c r="T362" s="1" t="s">
        <v>44</v>
      </c>
      <c r="U362" s="15">
        <v>5</v>
      </c>
    </row>
    <row r="363" spans="1:21" x14ac:dyDescent="0.3">
      <c r="A363" s="14" t="s">
        <v>624</v>
      </c>
      <c r="B363" s="46">
        <v>45422</v>
      </c>
      <c r="C363" s="4" t="s">
        <v>573</v>
      </c>
      <c r="D363" s="42" t="s">
        <v>1374</v>
      </c>
      <c r="E363" s="4">
        <v>2024</v>
      </c>
      <c r="F363" s="4" t="s">
        <v>35</v>
      </c>
      <c r="G363" s="61" t="s">
        <v>23</v>
      </c>
      <c r="H363" s="5" t="s">
        <v>24</v>
      </c>
      <c r="I363" s="5" t="s">
        <v>31</v>
      </c>
      <c r="J363" s="5" t="s">
        <v>625</v>
      </c>
      <c r="K363" s="4">
        <v>19</v>
      </c>
      <c r="L363" s="38">
        <v>103.88</v>
      </c>
      <c r="M363" s="6">
        <v>0</v>
      </c>
      <c r="N363" s="38">
        <v>1973.72</v>
      </c>
      <c r="O363" s="38">
        <v>0</v>
      </c>
      <c r="P363" s="54">
        <v>1973.72</v>
      </c>
      <c r="Q363" s="38">
        <v>1281.03</v>
      </c>
      <c r="R363" s="38">
        <v>692.69</v>
      </c>
      <c r="S363" s="6">
        <v>35.1</v>
      </c>
      <c r="T363" s="4" t="s">
        <v>44</v>
      </c>
      <c r="U363" s="16">
        <v>4</v>
      </c>
    </row>
    <row r="364" spans="1:21" x14ac:dyDescent="0.3">
      <c r="A364" s="13" t="s">
        <v>626</v>
      </c>
      <c r="B364" s="45">
        <v>45423</v>
      </c>
      <c r="C364" s="1" t="s">
        <v>573</v>
      </c>
      <c r="D364" s="41" t="s">
        <v>1374</v>
      </c>
      <c r="E364" s="1">
        <v>2024</v>
      </c>
      <c r="F364" s="1" t="s">
        <v>41</v>
      </c>
      <c r="G364" s="60" t="s">
        <v>58</v>
      </c>
      <c r="H364" s="2" t="s">
        <v>50</v>
      </c>
      <c r="I364" s="2" t="s">
        <v>38</v>
      </c>
      <c r="J364" s="2" t="s">
        <v>396</v>
      </c>
      <c r="K364" s="1">
        <v>3</v>
      </c>
      <c r="L364" s="37">
        <v>44.32</v>
      </c>
      <c r="M364" s="3">
        <v>0</v>
      </c>
      <c r="N364" s="37">
        <v>132.96</v>
      </c>
      <c r="O364" s="37">
        <v>0</v>
      </c>
      <c r="P364" s="53">
        <v>132.96</v>
      </c>
      <c r="Q364" s="37">
        <v>77.64</v>
      </c>
      <c r="R364" s="37">
        <v>55.32</v>
      </c>
      <c r="S364" s="3">
        <v>41.6</v>
      </c>
      <c r="T364" s="1" t="s">
        <v>44</v>
      </c>
      <c r="U364" s="15">
        <v>1</v>
      </c>
    </row>
    <row r="365" spans="1:21" x14ac:dyDescent="0.3">
      <c r="A365" s="14" t="s">
        <v>627</v>
      </c>
      <c r="B365" s="46">
        <v>45424</v>
      </c>
      <c r="C365" s="4" t="s">
        <v>573</v>
      </c>
      <c r="D365" s="42" t="s">
        <v>1374</v>
      </c>
      <c r="E365" s="4">
        <v>2024</v>
      </c>
      <c r="F365" s="4" t="s">
        <v>41</v>
      </c>
      <c r="G365" s="61" t="s">
        <v>122</v>
      </c>
      <c r="H365" s="5" t="s">
        <v>50</v>
      </c>
      <c r="I365" s="5" t="s">
        <v>38</v>
      </c>
      <c r="J365" s="5" t="s">
        <v>484</v>
      </c>
      <c r="K365" s="4">
        <v>10</v>
      </c>
      <c r="L365" s="38">
        <v>59.09</v>
      </c>
      <c r="M365" s="6">
        <v>15</v>
      </c>
      <c r="N365" s="38">
        <v>590.9</v>
      </c>
      <c r="O365" s="38">
        <v>88.63</v>
      </c>
      <c r="P365" s="54">
        <v>502.27</v>
      </c>
      <c r="Q365" s="38">
        <v>229</v>
      </c>
      <c r="R365" s="38">
        <v>273.27</v>
      </c>
      <c r="S365" s="6">
        <v>54.4</v>
      </c>
      <c r="T365" s="4" t="s">
        <v>44</v>
      </c>
      <c r="U365" s="16">
        <v>1</v>
      </c>
    </row>
    <row r="366" spans="1:21" x14ac:dyDescent="0.3">
      <c r="A366" s="13" t="s">
        <v>628</v>
      </c>
      <c r="B366" s="45">
        <v>45424</v>
      </c>
      <c r="C366" s="1" t="s">
        <v>573</v>
      </c>
      <c r="D366" s="41" t="s">
        <v>1374</v>
      </c>
      <c r="E366" s="1">
        <v>2024</v>
      </c>
      <c r="F366" s="1" t="s">
        <v>22</v>
      </c>
      <c r="G366" s="60" t="s">
        <v>122</v>
      </c>
      <c r="H366" s="2" t="s">
        <v>59</v>
      </c>
      <c r="I366" s="2" t="s">
        <v>38</v>
      </c>
      <c r="J366" s="2" t="s">
        <v>85</v>
      </c>
      <c r="K366" s="1">
        <v>14</v>
      </c>
      <c r="L366" s="37">
        <v>63.1</v>
      </c>
      <c r="M366" s="3">
        <v>15</v>
      </c>
      <c r="N366" s="37">
        <v>883.4</v>
      </c>
      <c r="O366" s="37">
        <v>132.51</v>
      </c>
      <c r="P366" s="53">
        <v>750.89</v>
      </c>
      <c r="Q366" s="37">
        <v>351.82</v>
      </c>
      <c r="R366" s="37">
        <v>399.07</v>
      </c>
      <c r="S366" s="3">
        <v>53.1</v>
      </c>
      <c r="T366" s="1" t="s">
        <v>27</v>
      </c>
      <c r="U366" s="15">
        <v>2</v>
      </c>
    </row>
    <row r="367" spans="1:21" x14ac:dyDescent="0.3">
      <c r="A367" s="14" t="s">
        <v>629</v>
      </c>
      <c r="B367" s="46">
        <v>45425</v>
      </c>
      <c r="C367" s="4" t="s">
        <v>573</v>
      </c>
      <c r="D367" s="42" t="s">
        <v>1374</v>
      </c>
      <c r="E367" s="4">
        <v>2024</v>
      </c>
      <c r="F367" s="4" t="s">
        <v>53</v>
      </c>
      <c r="G367" s="61" t="s">
        <v>46</v>
      </c>
      <c r="H367" s="5" t="s">
        <v>50</v>
      </c>
      <c r="I367" s="5" t="s">
        <v>75</v>
      </c>
      <c r="J367" s="5" t="s">
        <v>278</v>
      </c>
      <c r="K367" s="4">
        <v>8</v>
      </c>
      <c r="L367" s="38">
        <v>167.57</v>
      </c>
      <c r="M367" s="6">
        <v>15</v>
      </c>
      <c r="N367" s="38">
        <v>1340.56</v>
      </c>
      <c r="O367" s="38">
        <v>201.08</v>
      </c>
      <c r="P367" s="54">
        <v>1139.48</v>
      </c>
      <c r="Q367" s="38">
        <v>599.16999999999996</v>
      </c>
      <c r="R367" s="38">
        <v>540.30999999999995</v>
      </c>
      <c r="S367" s="6">
        <v>47.4</v>
      </c>
      <c r="T367" s="4" t="s">
        <v>44</v>
      </c>
      <c r="U367" s="16">
        <v>1</v>
      </c>
    </row>
    <row r="368" spans="1:21" x14ac:dyDescent="0.3">
      <c r="A368" s="13" t="s">
        <v>630</v>
      </c>
      <c r="B368" s="45">
        <v>45425</v>
      </c>
      <c r="C368" s="1" t="s">
        <v>573</v>
      </c>
      <c r="D368" s="41" t="s">
        <v>1374</v>
      </c>
      <c r="E368" s="1">
        <v>2024</v>
      </c>
      <c r="F368" s="1" t="s">
        <v>53</v>
      </c>
      <c r="G368" s="60" t="s">
        <v>58</v>
      </c>
      <c r="H368" s="2" t="s">
        <v>24</v>
      </c>
      <c r="I368" s="2" t="s">
        <v>25</v>
      </c>
      <c r="J368" s="2" t="s">
        <v>631</v>
      </c>
      <c r="K368" s="1">
        <v>2</v>
      </c>
      <c r="L368" s="37">
        <v>125.03</v>
      </c>
      <c r="M368" s="3">
        <v>0</v>
      </c>
      <c r="N368" s="37">
        <v>250.06</v>
      </c>
      <c r="O368" s="37">
        <v>0</v>
      </c>
      <c r="P368" s="53">
        <v>250.06</v>
      </c>
      <c r="Q368" s="37">
        <v>126.36</v>
      </c>
      <c r="R368" s="37">
        <v>123.7</v>
      </c>
      <c r="S368" s="3">
        <v>49.5</v>
      </c>
      <c r="T368" s="1" t="s">
        <v>44</v>
      </c>
      <c r="U368" s="15">
        <v>4</v>
      </c>
    </row>
    <row r="369" spans="1:21" x14ac:dyDescent="0.3">
      <c r="A369" s="14" t="s">
        <v>632</v>
      </c>
      <c r="B369" s="46">
        <v>45425</v>
      </c>
      <c r="C369" s="4" t="s">
        <v>573</v>
      </c>
      <c r="D369" s="42" t="s">
        <v>1374</v>
      </c>
      <c r="E369" s="4">
        <v>2024</v>
      </c>
      <c r="F369" s="4" t="s">
        <v>29</v>
      </c>
      <c r="G369" s="61" t="s">
        <v>42</v>
      </c>
      <c r="H369" s="5" t="s">
        <v>37</v>
      </c>
      <c r="I369" s="5" t="s">
        <v>47</v>
      </c>
      <c r="J369" s="5" t="s">
        <v>633</v>
      </c>
      <c r="K369" s="4">
        <v>8</v>
      </c>
      <c r="L369" s="38">
        <v>136.25</v>
      </c>
      <c r="M369" s="6">
        <v>0</v>
      </c>
      <c r="N369" s="38">
        <v>1090</v>
      </c>
      <c r="O369" s="38">
        <v>0</v>
      </c>
      <c r="P369" s="54">
        <v>1090</v>
      </c>
      <c r="Q369" s="38">
        <v>622.47</v>
      </c>
      <c r="R369" s="38">
        <v>467.53</v>
      </c>
      <c r="S369" s="6">
        <v>42.9</v>
      </c>
      <c r="T369" s="4" t="s">
        <v>27</v>
      </c>
      <c r="U369" s="16">
        <v>4</v>
      </c>
    </row>
    <row r="370" spans="1:21" x14ac:dyDescent="0.3">
      <c r="A370" s="13" t="s">
        <v>634</v>
      </c>
      <c r="B370" s="45">
        <v>45426</v>
      </c>
      <c r="C370" s="1" t="s">
        <v>573</v>
      </c>
      <c r="D370" s="41" t="s">
        <v>1374</v>
      </c>
      <c r="E370" s="1">
        <v>2024</v>
      </c>
      <c r="F370" s="1" t="s">
        <v>29</v>
      </c>
      <c r="G370" s="60" t="s">
        <v>42</v>
      </c>
      <c r="H370" s="2" t="s">
        <v>37</v>
      </c>
      <c r="I370" s="2" t="s">
        <v>55</v>
      </c>
      <c r="J370" s="2" t="s">
        <v>372</v>
      </c>
      <c r="K370" s="1">
        <v>3</v>
      </c>
      <c r="L370" s="37">
        <v>708.46</v>
      </c>
      <c r="M370" s="3">
        <v>5</v>
      </c>
      <c r="N370" s="37">
        <v>2125.38</v>
      </c>
      <c r="O370" s="37">
        <v>106.27</v>
      </c>
      <c r="P370" s="53">
        <v>2019.11</v>
      </c>
      <c r="Q370" s="37">
        <v>748.25</v>
      </c>
      <c r="R370" s="37">
        <v>1270.8599999999999</v>
      </c>
      <c r="S370" s="3">
        <v>62.9</v>
      </c>
      <c r="T370" s="1" t="s">
        <v>33</v>
      </c>
      <c r="U370" s="15">
        <v>2</v>
      </c>
    </row>
    <row r="371" spans="1:21" x14ac:dyDescent="0.3">
      <c r="A371" s="14" t="s">
        <v>635</v>
      </c>
      <c r="B371" s="46">
        <v>45426</v>
      </c>
      <c r="C371" s="4" t="s">
        <v>573</v>
      </c>
      <c r="D371" s="42" t="s">
        <v>1374</v>
      </c>
      <c r="E371" s="4">
        <v>2024</v>
      </c>
      <c r="F371" s="4" t="s">
        <v>35</v>
      </c>
      <c r="G371" s="61" t="s">
        <v>46</v>
      </c>
      <c r="H371" s="5" t="s">
        <v>24</v>
      </c>
      <c r="I371" s="5" t="s">
        <v>75</v>
      </c>
      <c r="J371" s="5" t="s">
        <v>153</v>
      </c>
      <c r="K371" s="4">
        <v>14</v>
      </c>
      <c r="L371" s="38">
        <v>287.7</v>
      </c>
      <c r="M371" s="6">
        <v>15</v>
      </c>
      <c r="N371" s="38">
        <v>4027.8</v>
      </c>
      <c r="O371" s="38">
        <v>604.16999999999996</v>
      </c>
      <c r="P371" s="54">
        <v>3423.63</v>
      </c>
      <c r="Q371" s="38">
        <v>1290.8800000000001</v>
      </c>
      <c r="R371" s="38">
        <v>2132.75</v>
      </c>
      <c r="S371" s="6">
        <v>62.3</v>
      </c>
      <c r="T371" s="4" t="s">
        <v>44</v>
      </c>
      <c r="U371" s="16">
        <v>4</v>
      </c>
    </row>
    <row r="372" spans="1:21" x14ac:dyDescent="0.3">
      <c r="A372" s="13" t="s">
        <v>636</v>
      </c>
      <c r="B372" s="45">
        <v>45426</v>
      </c>
      <c r="C372" s="1" t="s">
        <v>573</v>
      </c>
      <c r="D372" s="41" t="s">
        <v>1374</v>
      </c>
      <c r="E372" s="1">
        <v>2024</v>
      </c>
      <c r="F372" s="1" t="s">
        <v>35</v>
      </c>
      <c r="G372" s="60" t="s">
        <v>46</v>
      </c>
      <c r="H372" s="2" t="s">
        <v>37</v>
      </c>
      <c r="I372" s="2" t="s">
        <v>55</v>
      </c>
      <c r="J372" s="2" t="s">
        <v>637</v>
      </c>
      <c r="K372" s="1">
        <v>4</v>
      </c>
      <c r="L372" s="37">
        <v>269.39999999999998</v>
      </c>
      <c r="M372" s="3">
        <v>0</v>
      </c>
      <c r="N372" s="37">
        <v>1077.5999999999999</v>
      </c>
      <c r="O372" s="37">
        <v>0</v>
      </c>
      <c r="P372" s="53">
        <v>1077.5999999999999</v>
      </c>
      <c r="Q372" s="37">
        <v>469.13</v>
      </c>
      <c r="R372" s="37">
        <v>608.47</v>
      </c>
      <c r="S372" s="3">
        <v>56.5</v>
      </c>
      <c r="T372" s="1" t="s">
        <v>44</v>
      </c>
      <c r="U372" s="15">
        <v>3</v>
      </c>
    </row>
    <row r="373" spans="1:21" x14ac:dyDescent="0.3">
      <c r="A373" s="14" t="s">
        <v>638</v>
      </c>
      <c r="B373" s="46">
        <v>45427</v>
      </c>
      <c r="C373" s="4" t="s">
        <v>573</v>
      </c>
      <c r="D373" s="42" t="s">
        <v>1374</v>
      </c>
      <c r="E373" s="4">
        <v>2024</v>
      </c>
      <c r="F373" s="4" t="s">
        <v>22</v>
      </c>
      <c r="G373" s="61" t="s">
        <v>91</v>
      </c>
      <c r="H373" s="5" t="s">
        <v>50</v>
      </c>
      <c r="I373" s="5" t="s">
        <v>47</v>
      </c>
      <c r="J373" s="5" t="s">
        <v>522</v>
      </c>
      <c r="K373" s="4">
        <v>15</v>
      </c>
      <c r="L373" s="38">
        <v>231.7</v>
      </c>
      <c r="M373" s="6">
        <v>15</v>
      </c>
      <c r="N373" s="38">
        <v>3475.5</v>
      </c>
      <c r="O373" s="38">
        <v>521.32000000000005</v>
      </c>
      <c r="P373" s="54">
        <v>2954.18</v>
      </c>
      <c r="Q373" s="38">
        <v>1769.35</v>
      </c>
      <c r="R373" s="38">
        <v>1184.83</v>
      </c>
      <c r="S373" s="6">
        <v>40.1</v>
      </c>
      <c r="T373" s="4" t="s">
        <v>44</v>
      </c>
      <c r="U373" s="16">
        <v>1</v>
      </c>
    </row>
    <row r="374" spans="1:21" x14ac:dyDescent="0.3">
      <c r="A374" s="13" t="s">
        <v>639</v>
      </c>
      <c r="B374" s="45">
        <v>45427</v>
      </c>
      <c r="C374" s="1" t="s">
        <v>573</v>
      </c>
      <c r="D374" s="41" t="s">
        <v>1374</v>
      </c>
      <c r="E374" s="1">
        <v>2024</v>
      </c>
      <c r="F374" s="1" t="s">
        <v>53</v>
      </c>
      <c r="G374" s="60" t="s">
        <v>58</v>
      </c>
      <c r="H374" s="2" t="s">
        <v>24</v>
      </c>
      <c r="I374" s="2" t="s">
        <v>25</v>
      </c>
      <c r="J374" s="2" t="s">
        <v>123</v>
      </c>
      <c r="K374" s="1">
        <v>20</v>
      </c>
      <c r="L374" s="37">
        <v>68.63</v>
      </c>
      <c r="M374" s="3">
        <v>10</v>
      </c>
      <c r="N374" s="37">
        <v>1372.6</v>
      </c>
      <c r="O374" s="37">
        <v>137.26</v>
      </c>
      <c r="P374" s="53">
        <v>1235.3399999999999</v>
      </c>
      <c r="Q374" s="37">
        <v>771.47</v>
      </c>
      <c r="R374" s="37">
        <v>463.87</v>
      </c>
      <c r="S374" s="3">
        <v>37.5</v>
      </c>
      <c r="T374" s="1" t="s">
        <v>44</v>
      </c>
      <c r="U374" s="15">
        <v>3</v>
      </c>
    </row>
    <row r="375" spans="1:21" x14ac:dyDescent="0.3">
      <c r="A375" s="14" t="s">
        <v>640</v>
      </c>
      <c r="B375" s="46">
        <v>45427</v>
      </c>
      <c r="C375" s="4" t="s">
        <v>573</v>
      </c>
      <c r="D375" s="42" t="s">
        <v>1374</v>
      </c>
      <c r="E375" s="4">
        <v>2024</v>
      </c>
      <c r="F375" s="4" t="s">
        <v>35</v>
      </c>
      <c r="G375" s="61" t="s">
        <v>54</v>
      </c>
      <c r="H375" s="5" t="s">
        <v>59</v>
      </c>
      <c r="I375" s="5" t="s">
        <v>55</v>
      </c>
      <c r="J375" s="5" t="s">
        <v>641</v>
      </c>
      <c r="K375" s="4">
        <v>20</v>
      </c>
      <c r="L375" s="38">
        <v>524.9</v>
      </c>
      <c r="M375" s="6">
        <v>0</v>
      </c>
      <c r="N375" s="38">
        <v>10498</v>
      </c>
      <c r="O375" s="38">
        <v>0</v>
      </c>
      <c r="P375" s="54">
        <v>10498</v>
      </c>
      <c r="Q375" s="38">
        <v>4770.59</v>
      </c>
      <c r="R375" s="38">
        <v>5727.41</v>
      </c>
      <c r="S375" s="6">
        <v>54.6</v>
      </c>
      <c r="T375" s="4" t="s">
        <v>27</v>
      </c>
      <c r="U375" s="16">
        <v>3</v>
      </c>
    </row>
    <row r="376" spans="1:21" x14ac:dyDescent="0.3">
      <c r="A376" s="13" t="s">
        <v>642</v>
      </c>
      <c r="B376" s="45">
        <v>45427</v>
      </c>
      <c r="C376" s="1" t="s">
        <v>573</v>
      </c>
      <c r="D376" s="41" t="s">
        <v>1374</v>
      </c>
      <c r="E376" s="1">
        <v>2024</v>
      </c>
      <c r="F376" s="1" t="s">
        <v>53</v>
      </c>
      <c r="G376" s="60" t="s">
        <v>91</v>
      </c>
      <c r="H376" s="2" t="s">
        <v>59</v>
      </c>
      <c r="I376" s="2" t="s">
        <v>75</v>
      </c>
      <c r="J376" s="2" t="s">
        <v>326</v>
      </c>
      <c r="K376" s="1">
        <v>2</v>
      </c>
      <c r="L376" s="37">
        <v>101.46</v>
      </c>
      <c r="M376" s="3">
        <v>10</v>
      </c>
      <c r="N376" s="37">
        <v>202.92</v>
      </c>
      <c r="O376" s="37">
        <v>20.29</v>
      </c>
      <c r="P376" s="53">
        <v>182.63</v>
      </c>
      <c r="Q376" s="37">
        <v>116.7</v>
      </c>
      <c r="R376" s="37">
        <v>65.930000000000007</v>
      </c>
      <c r="S376" s="3">
        <v>36.1</v>
      </c>
      <c r="T376" s="1" t="s">
        <v>44</v>
      </c>
      <c r="U376" s="15">
        <v>5</v>
      </c>
    </row>
    <row r="377" spans="1:21" x14ac:dyDescent="0.3">
      <c r="A377" s="14" t="s">
        <v>643</v>
      </c>
      <c r="B377" s="46">
        <v>45427</v>
      </c>
      <c r="C377" s="4" t="s">
        <v>573</v>
      </c>
      <c r="D377" s="42" t="s">
        <v>1374</v>
      </c>
      <c r="E377" s="4">
        <v>2024</v>
      </c>
      <c r="F377" s="4" t="s">
        <v>35</v>
      </c>
      <c r="G377" s="61" t="s">
        <v>54</v>
      </c>
      <c r="H377" s="5" t="s">
        <v>59</v>
      </c>
      <c r="I377" s="5" t="s">
        <v>47</v>
      </c>
      <c r="J377" s="5" t="s">
        <v>644</v>
      </c>
      <c r="K377" s="4">
        <v>10</v>
      </c>
      <c r="L377" s="38">
        <v>260.87</v>
      </c>
      <c r="M377" s="6">
        <v>10</v>
      </c>
      <c r="N377" s="38">
        <v>2608.6999999999998</v>
      </c>
      <c r="O377" s="38">
        <v>260.87</v>
      </c>
      <c r="P377" s="54">
        <v>2347.83</v>
      </c>
      <c r="Q377" s="38">
        <v>1016.5</v>
      </c>
      <c r="R377" s="38">
        <v>1331.33</v>
      </c>
      <c r="S377" s="6">
        <v>56.7</v>
      </c>
      <c r="T377" s="4" t="s">
        <v>44</v>
      </c>
      <c r="U377" s="16">
        <v>4</v>
      </c>
    </row>
    <row r="378" spans="1:21" x14ac:dyDescent="0.3">
      <c r="A378" s="13" t="s">
        <v>645</v>
      </c>
      <c r="B378" s="45">
        <v>45427</v>
      </c>
      <c r="C378" s="1" t="s">
        <v>573</v>
      </c>
      <c r="D378" s="41" t="s">
        <v>1374</v>
      </c>
      <c r="E378" s="1">
        <v>2024</v>
      </c>
      <c r="F378" s="1" t="s">
        <v>41</v>
      </c>
      <c r="G378" s="60" t="s">
        <v>91</v>
      </c>
      <c r="H378" s="2" t="s">
        <v>59</v>
      </c>
      <c r="I378" s="2" t="s">
        <v>38</v>
      </c>
      <c r="J378" s="2" t="s">
        <v>646</v>
      </c>
      <c r="K378" s="1">
        <v>6</v>
      </c>
      <c r="L378" s="37">
        <v>50.86</v>
      </c>
      <c r="M378" s="3">
        <v>15</v>
      </c>
      <c r="N378" s="37">
        <v>305.16000000000003</v>
      </c>
      <c r="O378" s="37">
        <v>45.77</v>
      </c>
      <c r="P378" s="53">
        <v>259.39</v>
      </c>
      <c r="Q378" s="37">
        <v>137.97</v>
      </c>
      <c r="R378" s="37">
        <v>121.42</v>
      </c>
      <c r="S378" s="3">
        <v>46.8</v>
      </c>
      <c r="T378" s="1" t="s">
        <v>44</v>
      </c>
      <c r="U378" s="15">
        <v>2</v>
      </c>
    </row>
    <row r="379" spans="1:21" x14ac:dyDescent="0.3">
      <c r="A379" s="14" t="s">
        <v>647</v>
      </c>
      <c r="B379" s="46">
        <v>45427</v>
      </c>
      <c r="C379" s="4" t="s">
        <v>573</v>
      </c>
      <c r="D379" s="42" t="s">
        <v>1374</v>
      </c>
      <c r="E379" s="4">
        <v>2024</v>
      </c>
      <c r="F379" s="4" t="s">
        <v>29</v>
      </c>
      <c r="G379" s="61" t="s">
        <v>36</v>
      </c>
      <c r="H379" s="5" t="s">
        <v>50</v>
      </c>
      <c r="I379" s="5" t="s">
        <v>38</v>
      </c>
      <c r="J379" s="5" t="s">
        <v>265</v>
      </c>
      <c r="K379" s="4">
        <v>4</v>
      </c>
      <c r="L379" s="38">
        <v>40.369999999999997</v>
      </c>
      <c r="M379" s="6">
        <v>0</v>
      </c>
      <c r="N379" s="38">
        <v>161.47999999999999</v>
      </c>
      <c r="O379" s="38">
        <v>0</v>
      </c>
      <c r="P379" s="54">
        <v>161.47999999999999</v>
      </c>
      <c r="Q379" s="38">
        <v>65.94</v>
      </c>
      <c r="R379" s="38">
        <v>95.54</v>
      </c>
      <c r="S379" s="6">
        <v>59.2</v>
      </c>
      <c r="T379" s="4" t="s">
        <v>27</v>
      </c>
      <c r="U379" s="16">
        <v>4</v>
      </c>
    </row>
    <row r="380" spans="1:21" x14ac:dyDescent="0.3">
      <c r="A380" s="13" t="s">
        <v>648</v>
      </c>
      <c r="B380" s="45">
        <v>45427</v>
      </c>
      <c r="C380" s="1" t="s">
        <v>573</v>
      </c>
      <c r="D380" s="41" t="s">
        <v>1374</v>
      </c>
      <c r="E380" s="1">
        <v>2024</v>
      </c>
      <c r="F380" s="1" t="s">
        <v>35</v>
      </c>
      <c r="G380" s="60" t="s">
        <v>46</v>
      </c>
      <c r="H380" s="2" t="s">
        <v>50</v>
      </c>
      <c r="I380" s="2" t="s">
        <v>38</v>
      </c>
      <c r="J380" s="2" t="s">
        <v>120</v>
      </c>
      <c r="K380" s="1">
        <v>1</v>
      </c>
      <c r="L380" s="37">
        <v>68.63</v>
      </c>
      <c r="M380" s="3">
        <v>5</v>
      </c>
      <c r="N380" s="37">
        <v>68.63</v>
      </c>
      <c r="O380" s="37">
        <v>3.43</v>
      </c>
      <c r="P380" s="53">
        <v>65.2</v>
      </c>
      <c r="Q380" s="37">
        <v>41.01</v>
      </c>
      <c r="R380" s="37">
        <v>24.19</v>
      </c>
      <c r="S380" s="3">
        <v>37.1</v>
      </c>
      <c r="T380" s="1" t="s">
        <v>44</v>
      </c>
      <c r="U380" s="15">
        <v>1</v>
      </c>
    </row>
    <row r="381" spans="1:21" x14ac:dyDescent="0.3">
      <c r="A381" s="14" t="s">
        <v>649</v>
      </c>
      <c r="B381" s="46">
        <v>45427</v>
      </c>
      <c r="C381" s="4" t="s">
        <v>573</v>
      </c>
      <c r="D381" s="42" t="s">
        <v>1374</v>
      </c>
      <c r="E381" s="4">
        <v>2024</v>
      </c>
      <c r="F381" s="4" t="s">
        <v>35</v>
      </c>
      <c r="G381" s="61" t="s">
        <v>122</v>
      </c>
      <c r="H381" s="5" t="s">
        <v>59</v>
      </c>
      <c r="I381" s="5" t="s">
        <v>47</v>
      </c>
      <c r="J381" s="5" t="s">
        <v>511</v>
      </c>
      <c r="K381" s="4">
        <v>5</v>
      </c>
      <c r="L381" s="38">
        <v>369.15</v>
      </c>
      <c r="M381" s="6">
        <v>20</v>
      </c>
      <c r="N381" s="38">
        <v>1845.75</v>
      </c>
      <c r="O381" s="38">
        <v>369.15</v>
      </c>
      <c r="P381" s="54">
        <v>1476.6</v>
      </c>
      <c r="Q381" s="38">
        <v>771.48</v>
      </c>
      <c r="R381" s="38">
        <v>705.12</v>
      </c>
      <c r="S381" s="6">
        <v>47.8</v>
      </c>
      <c r="T381" s="4" t="s">
        <v>44</v>
      </c>
      <c r="U381" s="16">
        <v>3</v>
      </c>
    </row>
    <row r="382" spans="1:21" x14ac:dyDescent="0.3">
      <c r="A382" s="13" t="s">
        <v>650</v>
      </c>
      <c r="B382" s="45">
        <v>45427</v>
      </c>
      <c r="C382" s="1" t="s">
        <v>573</v>
      </c>
      <c r="D382" s="41" t="s">
        <v>1374</v>
      </c>
      <c r="E382" s="1">
        <v>2024</v>
      </c>
      <c r="F382" s="1" t="s">
        <v>22</v>
      </c>
      <c r="G382" s="60" t="s">
        <v>91</v>
      </c>
      <c r="H382" s="2" t="s">
        <v>50</v>
      </c>
      <c r="I382" s="2" t="s">
        <v>25</v>
      </c>
      <c r="J382" s="2" t="s">
        <v>426</v>
      </c>
      <c r="K382" s="1">
        <v>1</v>
      </c>
      <c r="L382" s="37">
        <v>108.81</v>
      </c>
      <c r="M382" s="3">
        <v>0</v>
      </c>
      <c r="N382" s="37">
        <v>108.81</v>
      </c>
      <c r="O382" s="37">
        <v>0</v>
      </c>
      <c r="P382" s="53">
        <v>108.81</v>
      </c>
      <c r="Q382" s="37">
        <v>46.61</v>
      </c>
      <c r="R382" s="37">
        <v>62.2</v>
      </c>
      <c r="S382" s="3">
        <v>57.2</v>
      </c>
      <c r="T382" s="1" t="s">
        <v>44</v>
      </c>
      <c r="U382" s="15">
        <v>4</v>
      </c>
    </row>
    <row r="383" spans="1:21" x14ac:dyDescent="0.3">
      <c r="A383" s="14" t="s">
        <v>651</v>
      </c>
      <c r="B383" s="46">
        <v>45427</v>
      </c>
      <c r="C383" s="4" t="s">
        <v>573</v>
      </c>
      <c r="D383" s="42" t="s">
        <v>1374</v>
      </c>
      <c r="E383" s="4">
        <v>2024</v>
      </c>
      <c r="F383" s="4" t="s">
        <v>41</v>
      </c>
      <c r="G383" s="61" t="s">
        <v>66</v>
      </c>
      <c r="H383" s="5" t="s">
        <v>24</v>
      </c>
      <c r="I383" s="5" t="s">
        <v>75</v>
      </c>
      <c r="J383" s="5" t="s">
        <v>236</v>
      </c>
      <c r="K383" s="4">
        <v>6</v>
      </c>
      <c r="L383" s="38">
        <v>219.51</v>
      </c>
      <c r="M383" s="6">
        <v>10</v>
      </c>
      <c r="N383" s="38">
        <v>1317.06</v>
      </c>
      <c r="O383" s="38">
        <v>131.71</v>
      </c>
      <c r="P383" s="54">
        <v>1185.3499999999999</v>
      </c>
      <c r="Q383" s="38">
        <v>559.65</v>
      </c>
      <c r="R383" s="38">
        <v>625.70000000000005</v>
      </c>
      <c r="S383" s="6">
        <v>52.8</v>
      </c>
      <c r="T383" s="4" t="s">
        <v>44</v>
      </c>
      <c r="U383" s="16">
        <v>1</v>
      </c>
    </row>
    <row r="384" spans="1:21" x14ac:dyDescent="0.3">
      <c r="A384" s="13" t="s">
        <v>652</v>
      </c>
      <c r="B384" s="45">
        <v>45428</v>
      </c>
      <c r="C384" s="1" t="s">
        <v>573</v>
      </c>
      <c r="D384" s="41" t="s">
        <v>1374</v>
      </c>
      <c r="E384" s="1">
        <v>2024</v>
      </c>
      <c r="F384" s="1" t="s">
        <v>29</v>
      </c>
      <c r="G384" s="60" t="s">
        <v>54</v>
      </c>
      <c r="H384" s="2" t="s">
        <v>24</v>
      </c>
      <c r="I384" s="2" t="s">
        <v>38</v>
      </c>
      <c r="J384" s="2" t="s">
        <v>175</v>
      </c>
      <c r="K384" s="1">
        <v>16</v>
      </c>
      <c r="L384" s="37">
        <v>47.07</v>
      </c>
      <c r="M384" s="3">
        <v>15</v>
      </c>
      <c r="N384" s="37">
        <v>753.12</v>
      </c>
      <c r="O384" s="37">
        <v>112.97</v>
      </c>
      <c r="P384" s="53">
        <v>640.15</v>
      </c>
      <c r="Q384" s="37">
        <v>244.5</v>
      </c>
      <c r="R384" s="37">
        <v>395.65</v>
      </c>
      <c r="S384" s="3">
        <v>61.8</v>
      </c>
      <c r="T384" s="1" t="s">
        <v>27</v>
      </c>
      <c r="U384" s="15">
        <v>5</v>
      </c>
    </row>
    <row r="385" spans="1:21" x14ac:dyDescent="0.3">
      <c r="A385" s="14" t="s">
        <v>653</v>
      </c>
      <c r="B385" s="46">
        <v>45428</v>
      </c>
      <c r="C385" s="4" t="s">
        <v>573</v>
      </c>
      <c r="D385" s="42" t="s">
        <v>1374</v>
      </c>
      <c r="E385" s="4">
        <v>2024</v>
      </c>
      <c r="F385" s="4" t="s">
        <v>41</v>
      </c>
      <c r="G385" s="61" t="s">
        <v>122</v>
      </c>
      <c r="H385" s="5" t="s">
        <v>24</v>
      </c>
      <c r="I385" s="5" t="s">
        <v>47</v>
      </c>
      <c r="J385" s="5" t="s">
        <v>588</v>
      </c>
      <c r="K385" s="4">
        <v>12</v>
      </c>
      <c r="L385" s="38">
        <v>499.1</v>
      </c>
      <c r="M385" s="6">
        <v>10</v>
      </c>
      <c r="N385" s="38">
        <v>5989.2</v>
      </c>
      <c r="O385" s="38">
        <v>598.91999999999996</v>
      </c>
      <c r="P385" s="54">
        <v>5390.28</v>
      </c>
      <c r="Q385" s="38">
        <v>2003.65</v>
      </c>
      <c r="R385" s="38">
        <v>3386.63</v>
      </c>
      <c r="S385" s="6">
        <v>62.8</v>
      </c>
      <c r="T385" s="4" t="s">
        <v>44</v>
      </c>
      <c r="U385" s="16">
        <v>2</v>
      </c>
    </row>
    <row r="386" spans="1:21" x14ac:dyDescent="0.3">
      <c r="A386" s="13" t="s">
        <v>654</v>
      </c>
      <c r="B386" s="45">
        <v>45428</v>
      </c>
      <c r="C386" s="1" t="s">
        <v>573</v>
      </c>
      <c r="D386" s="41" t="s">
        <v>1374</v>
      </c>
      <c r="E386" s="1">
        <v>2024</v>
      </c>
      <c r="F386" s="1" t="s">
        <v>29</v>
      </c>
      <c r="G386" s="60" t="s">
        <v>91</v>
      </c>
      <c r="H386" s="2" t="s">
        <v>59</v>
      </c>
      <c r="I386" s="2" t="s">
        <v>55</v>
      </c>
      <c r="J386" s="2" t="s">
        <v>655</v>
      </c>
      <c r="K386" s="1">
        <v>17</v>
      </c>
      <c r="L386" s="37">
        <v>600.13</v>
      </c>
      <c r="M386" s="3">
        <v>0</v>
      </c>
      <c r="N386" s="37">
        <v>10202.209999999999</v>
      </c>
      <c r="O386" s="37">
        <v>0</v>
      </c>
      <c r="P386" s="53">
        <v>10202.209999999999</v>
      </c>
      <c r="Q386" s="37">
        <v>4471.38</v>
      </c>
      <c r="R386" s="37">
        <v>5730.83</v>
      </c>
      <c r="S386" s="3">
        <v>56.2</v>
      </c>
      <c r="T386" s="1" t="s">
        <v>44</v>
      </c>
      <c r="U386" s="15">
        <v>4</v>
      </c>
    </row>
    <row r="387" spans="1:21" x14ac:dyDescent="0.3">
      <c r="A387" s="14" t="s">
        <v>656</v>
      </c>
      <c r="B387" s="46">
        <v>45429</v>
      </c>
      <c r="C387" s="4" t="s">
        <v>573</v>
      </c>
      <c r="D387" s="42" t="s">
        <v>1374</v>
      </c>
      <c r="E387" s="4">
        <v>2024</v>
      </c>
      <c r="F387" s="4" t="s">
        <v>41</v>
      </c>
      <c r="G387" s="61" t="s">
        <v>46</v>
      </c>
      <c r="H387" s="5" t="s">
        <v>59</v>
      </c>
      <c r="I387" s="5" t="s">
        <v>38</v>
      </c>
      <c r="J387" s="5" t="s">
        <v>151</v>
      </c>
      <c r="K387" s="4">
        <v>17</v>
      </c>
      <c r="L387" s="38">
        <v>33.26</v>
      </c>
      <c r="M387" s="6">
        <v>0</v>
      </c>
      <c r="N387" s="38">
        <v>565.41999999999996</v>
      </c>
      <c r="O387" s="38">
        <v>0</v>
      </c>
      <c r="P387" s="54">
        <v>565.41999999999996</v>
      </c>
      <c r="Q387" s="38">
        <v>358.54</v>
      </c>
      <c r="R387" s="38">
        <v>206.88</v>
      </c>
      <c r="S387" s="6">
        <v>36.6</v>
      </c>
      <c r="T387" s="4" t="s">
        <v>27</v>
      </c>
      <c r="U387" s="16">
        <v>2</v>
      </c>
    </row>
    <row r="388" spans="1:21" x14ac:dyDescent="0.3">
      <c r="A388" s="13" t="s">
        <v>657</v>
      </c>
      <c r="B388" s="45">
        <v>45429</v>
      </c>
      <c r="C388" s="1" t="s">
        <v>573</v>
      </c>
      <c r="D388" s="41" t="s">
        <v>1374</v>
      </c>
      <c r="E388" s="1">
        <v>2024</v>
      </c>
      <c r="F388" s="1" t="s">
        <v>41</v>
      </c>
      <c r="G388" s="60" t="s">
        <v>54</v>
      </c>
      <c r="H388" s="2" t="s">
        <v>59</v>
      </c>
      <c r="I388" s="2" t="s">
        <v>31</v>
      </c>
      <c r="J388" s="2" t="s">
        <v>282</v>
      </c>
      <c r="K388" s="1">
        <v>9</v>
      </c>
      <c r="L388" s="37">
        <v>191.99</v>
      </c>
      <c r="M388" s="3">
        <v>0</v>
      </c>
      <c r="N388" s="37">
        <v>1727.91</v>
      </c>
      <c r="O388" s="37">
        <v>0</v>
      </c>
      <c r="P388" s="53">
        <v>1727.91</v>
      </c>
      <c r="Q388" s="37">
        <v>1020.99</v>
      </c>
      <c r="R388" s="37">
        <v>706.92</v>
      </c>
      <c r="S388" s="3">
        <v>40.9</v>
      </c>
      <c r="T388" s="1" t="s">
        <v>44</v>
      </c>
      <c r="U388" s="15">
        <v>2</v>
      </c>
    </row>
    <row r="389" spans="1:21" x14ac:dyDescent="0.3">
      <c r="A389" s="14" t="s">
        <v>658</v>
      </c>
      <c r="B389" s="46">
        <v>45430</v>
      </c>
      <c r="C389" s="4" t="s">
        <v>573</v>
      </c>
      <c r="D389" s="42" t="s">
        <v>1374</v>
      </c>
      <c r="E389" s="4">
        <v>2024</v>
      </c>
      <c r="F389" s="4" t="s">
        <v>22</v>
      </c>
      <c r="G389" s="61" t="s">
        <v>58</v>
      </c>
      <c r="H389" s="5" t="s">
        <v>50</v>
      </c>
      <c r="I389" s="5" t="s">
        <v>75</v>
      </c>
      <c r="J389" s="5" t="s">
        <v>659</v>
      </c>
      <c r="K389" s="4">
        <v>6</v>
      </c>
      <c r="L389" s="38">
        <v>197.37</v>
      </c>
      <c r="M389" s="6">
        <v>20</v>
      </c>
      <c r="N389" s="38">
        <v>1184.22</v>
      </c>
      <c r="O389" s="38">
        <v>236.84</v>
      </c>
      <c r="P389" s="54">
        <v>947.38</v>
      </c>
      <c r="Q389" s="38">
        <v>603.49</v>
      </c>
      <c r="R389" s="38">
        <v>343.89</v>
      </c>
      <c r="S389" s="6">
        <v>36.299999999999997</v>
      </c>
      <c r="T389" s="4" t="s">
        <v>33</v>
      </c>
      <c r="U389" s="16">
        <v>3</v>
      </c>
    </row>
    <row r="390" spans="1:21" x14ac:dyDescent="0.3">
      <c r="A390" s="13" t="s">
        <v>660</v>
      </c>
      <c r="B390" s="45">
        <v>45430</v>
      </c>
      <c r="C390" s="1" t="s">
        <v>573</v>
      </c>
      <c r="D390" s="41" t="s">
        <v>1374</v>
      </c>
      <c r="E390" s="1">
        <v>2024</v>
      </c>
      <c r="F390" s="1" t="s">
        <v>53</v>
      </c>
      <c r="G390" s="60" t="s">
        <v>54</v>
      </c>
      <c r="H390" s="2" t="s">
        <v>37</v>
      </c>
      <c r="I390" s="2" t="s">
        <v>55</v>
      </c>
      <c r="J390" s="2" t="s">
        <v>661</v>
      </c>
      <c r="K390" s="1">
        <v>12</v>
      </c>
      <c r="L390" s="37">
        <v>663.1</v>
      </c>
      <c r="M390" s="3">
        <v>0</v>
      </c>
      <c r="N390" s="37">
        <v>7957.2</v>
      </c>
      <c r="O390" s="37">
        <v>0</v>
      </c>
      <c r="P390" s="53">
        <v>7957.2</v>
      </c>
      <c r="Q390" s="37">
        <v>4876.4399999999996</v>
      </c>
      <c r="R390" s="37">
        <v>3080.76</v>
      </c>
      <c r="S390" s="3">
        <v>38.700000000000003</v>
      </c>
      <c r="T390" s="1" t="s">
        <v>44</v>
      </c>
      <c r="U390" s="15">
        <v>5</v>
      </c>
    </row>
    <row r="391" spans="1:21" x14ac:dyDescent="0.3">
      <c r="A391" s="14" t="s">
        <v>662</v>
      </c>
      <c r="B391" s="46">
        <v>45430</v>
      </c>
      <c r="C391" s="4" t="s">
        <v>573</v>
      </c>
      <c r="D391" s="42" t="s">
        <v>1374</v>
      </c>
      <c r="E391" s="4">
        <v>2024</v>
      </c>
      <c r="F391" s="4" t="s">
        <v>41</v>
      </c>
      <c r="G391" s="61" t="s">
        <v>42</v>
      </c>
      <c r="H391" s="5" t="s">
        <v>37</v>
      </c>
      <c r="I391" s="5" t="s">
        <v>25</v>
      </c>
      <c r="J391" s="5" t="s">
        <v>67</v>
      </c>
      <c r="K391" s="4">
        <v>5</v>
      </c>
      <c r="L391" s="38">
        <v>86.48</v>
      </c>
      <c r="M391" s="6">
        <v>5</v>
      </c>
      <c r="N391" s="38">
        <v>432.4</v>
      </c>
      <c r="O391" s="38">
        <v>21.62</v>
      </c>
      <c r="P391" s="54">
        <v>410.78</v>
      </c>
      <c r="Q391" s="38">
        <v>243.98</v>
      </c>
      <c r="R391" s="38">
        <v>166.8</v>
      </c>
      <c r="S391" s="6">
        <v>40.6</v>
      </c>
      <c r="T391" s="4" t="s">
        <v>44</v>
      </c>
      <c r="U391" s="16">
        <v>1</v>
      </c>
    </row>
    <row r="392" spans="1:21" x14ac:dyDescent="0.3">
      <c r="A392" s="13" t="s">
        <v>663</v>
      </c>
      <c r="B392" s="45">
        <v>45431</v>
      </c>
      <c r="C392" s="1" t="s">
        <v>573</v>
      </c>
      <c r="D392" s="41" t="s">
        <v>1374</v>
      </c>
      <c r="E392" s="1">
        <v>2024</v>
      </c>
      <c r="F392" s="1" t="s">
        <v>29</v>
      </c>
      <c r="G392" s="60" t="s">
        <v>91</v>
      </c>
      <c r="H392" s="2" t="s">
        <v>50</v>
      </c>
      <c r="I392" s="2" t="s">
        <v>25</v>
      </c>
      <c r="J392" s="2" t="s">
        <v>664</v>
      </c>
      <c r="K392" s="1">
        <v>9</v>
      </c>
      <c r="L392" s="37">
        <v>104.62</v>
      </c>
      <c r="M392" s="3">
        <v>0</v>
      </c>
      <c r="N392" s="37">
        <v>941.58</v>
      </c>
      <c r="O392" s="37">
        <v>0</v>
      </c>
      <c r="P392" s="53">
        <v>941.58</v>
      </c>
      <c r="Q392" s="37">
        <v>491.95</v>
      </c>
      <c r="R392" s="37">
        <v>449.63</v>
      </c>
      <c r="S392" s="3">
        <v>47.8</v>
      </c>
      <c r="T392" s="1" t="s">
        <v>44</v>
      </c>
      <c r="U392" s="15">
        <v>5</v>
      </c>
    </row>
    <row r="393" spans="1:21" x14ac:dyDescent="0.3">
      <c r="A393" s="14" t="s">
        <v>665</v>
      </c>
      <c r="B393" s="46">
        <v>45431</v>
      </c>
      <c r="C393" s="4" t="s">
        <v>573</v>
      </c>
      <c r="D393" s="42" t="s">
        <v>1374</v>
      </c>
      <c r="E393" s="4">
        <v>2024</v>
      </c>
      <c r="F393" s="4" t="s">
        <v>29</v>
      </c>
      <c r="G393" s="61" t="s">
        <v>54</v>
      </c>
      <c r="H393" s="5" t="s">
        <v>59</v>
      </c>
      <c r="I393" s="5" t="s">
        <v>47</v>
      </c>
      <c r="J393" s="5" t="s">
        <v>379</v>
      </c>
      <c r="K393" s="4">
        <v>4</v>
      </c>
      <c r="L393" s="38">
        <v>436.47</v>
      </c>
      <c r="M393" s="6">
        <v>10</v>
      </c>
      <c r="N393" s="38">
        <v>1745.88</v>
      </c>
      <c r="O393" s="38">
        <v>174.59</v>
      </c>
      <c r="P393" s="54">
        <v>1571.29</v>
      </c>
      <c r="Q393" s="38">
        <v>877.18</v>
      </c>
      <c r="R393" s="38">
        <v>694.11</v>
      </c>
      <c r="S393" s="6">
        <v>44.2</v>
      </c>
      <c r="T393" s="4" t="s">
        <v>44</v>
      </c>
      <c r="U393" s="16">
        <v>4</v>
      </c>
    </row>
    <row r="394" spans="1:21" x14ac:dyDescent="0.3">
      <c r="A394" s="13" t="s">
        <v>666</v>
      </c>
      <c r="B394" s="45">
        <v>45431</v>
      </c>
      <c r="C394" s="1" t="s">
        <v>573</v>
      </c>
      <c r="D394" s="41" t="s">
        <v>1374</v>
      </c>
      <c r="E394" s="1">
        <v>2024</v>
      </c>
      <c r="F394" s="1" t="s">
        <v>22</v>
      </c>
      <c r="G394" s="60" t="s">
        <v>54</v>
      </c>
      <c r="H394" s="2" t="s">
        <v>59</v>
      </c>
      <c r="I394" s="2" t="s">
        <v>25</v>
      </c>
      <c r="J394" s="2" t="s">
        <v>513</v>
      </c>
      <c r="K394" s="1">
        <v>1</v>
      </c>
      <c r="L394" s="37">
        <v>105.3</v>
      </c>
      <c r="M394" s="3">
        <v>0</v>
      </c>
      <c r="N394" s="37">
        <v>105.3</v>
      </c>
      <c r="O394" s="37">
        <v>0</v>
      </c>
      <c r="P394" s="53">
        <v>105.3</v>
      </c>
      <c r="Q394" s="37">
        <v>67.37</v>
      </c>
      <c r="R394" s="37">
        <v>37.93</v>
      </c>
      <c r="S394" s="3">
        <v>36</v>
      </c>
      <c r="T394" s="1" t="s">
        <v>27</v>
      </c>
      <c r="U394" s="15">
        <v>1</v>
      </c>
    </row>
    <row r="395" spans="1:21" x14ac:dyDescent="0.3">
      <c r="A395" s="14" t="s">
        <v>667</v>
      </c>
      <c r="B395" s="46">
        <v>45432</v>
      </c>
      <c r="C395" s="4" t="s">
        <v>573</v>
      </c>
      <c r="D395" s="42" t="s">
        <v>1374</v>
      </c>
      <c r="E395" s="4">
        <v>2024</v>
      </c>
      <c r="F395" s="4" t="s">
        <v>53</v>
      </c>
      <c r="G395" s="61" t="s">
        <v>54</v>
      </c>
      <c r="H395" s="5" t="s">
        <v>50</v>
      </c>
      <c r="I395" s="5" t="s">
        <v>31</v>
      </c>
      <c r="J395" s="5" t="s">
        <v>668</v>
      </c>
      <c r="K395" s="4">
        <v>11</v>
      </c>
      <c r="L395" s="38">
        <v>163.68</v>
      </c>
      <c r="M395" s="6">
        <v>20</v>
      </c>
      <c r="N395" s="38">
        <v>1800.48</v>
      </c>
      <c r="O395" s="38">
        <v>360.1</v>
      </c>
      <c r="P395" s="54">
        <v>1440.38</v>
      </c>
      <c r="Q395" s="38">
        <v>747.49</v>
      </c>
      <c r="R395" s="38">
        <v>692.89</v>
      </c>
      <c r="S395" s="6">
        <v>48.1</v>
      </c>
      <c r="T395" s="4" t="s">
        <v>44</v>
      </c>
      <c r="U395" s="16">
        <v>3</v>
      </c>
    </row>
    <row r="396" spans="1:21" x14ac:dyDescent="0.3">
      <c r="A396" s="13" t="s">
        <v>669</v>
      </c>
      <c r="B396" s="45">
        <v>45432</v>
      </c>
      <c r="C396" s="1" t="s">
        <v>573</v>
      </c>
      <c r="D396" s="41" t="s">
        <v>1374</v>
      </c>
      <c r="E396" s="1">
        <v>2024</v>
      </c>
      <c r="F396" s="1" t="s">
        <v>29</v>
      </c>
      <c r="G396" s="60" t="s">
        <v>54</v>
      </c>
      <c r="H396" s="2" t="s">
        <v>24</v>
      </c>
      <c r="I396" s="2" t="s">
        <v>38</v>
      </c>
      <c r="J396" s="2" t="s">
        <v>599</v>
      </c>
      <c r="K396" s="1">
        <v>14</v>
      </c>
      <c r="L396" s="37">
        <v>24.83</v>
      </c>
      <c r="M396" s="3">
        <v>0</v>
      </c>
      <c r="N396" s="37">
        <v>347.62</v>
      </c>
      <c r="O396" s="37">
        <v>0</v>
      </c>
      <c r="P396" s="53">
        <v>347.62</v>
      </c>
      <c r="Q396" s="37">
        <v>201.96</v>
      </c>
      <c r="R396" s="37">
        <v>145.66</v>
      </c>
      <c r="S396" s="3">
        <v>41.9</v>
      </c>
      <c r="T396" s="1" t="s">
        <v>27</v>
      </c>
      <c r="U396" s="15">
        <v>4</v>
      </c>
    </row>
    <row r="397" spans="1:21" x14ac:dyDescent="0.3">
      <c r="A397" s="14" t="s">
        <v>670</v>
      </c>
      <c r="B397" s="46">
        <v>45432</v>
      </c>
      <c r="C397" s="4" t="s">
        <v>573</v>
      </c>
      <c r="D397" s="42" t="s">
        <v>1374</v>
      </c>
      <c r="E397" s="4">
        <v>2024</v>
      </c>
      <c r="F397" s="4" t="s">
        <v>22</v>
      </c>
      <c r="G397" s="61" t="s">
        <v>36</v>
      </c>
      <c r="H397" s="5" t="s">
        <v>24</v>
      </c>
      <c r="I397" s="5" t="s">
        <v>55</v>
      </c>
      <c r="J397" s="5" t="s">
        <v>197</v>
      </c>
      <c r="K397" s="4">
        <v>9</v>
      </c>
      <c r="L397" s="38">
        <v>606.80999999999995</v>
      </c>
      <c r="M397" s="6">
        <v>20</v>
      </c>
      <c r="N397" s="38">
        <v>5461.29</v>
      </c>
      <c r="O397" s="38">
        <v>1092.26</v>
      </c>
      <c r="P397" s="54">
        <v>4369.03</v>
      </c>
      <c r="Q397" s="38">
        <v>2521.9899999999998</v>
      </c>
      <c r="R397" s="38">
        <v>1847.04</v>
      </c>
      <c r="S397" s="6">
        <v>42.3</v>
      </c>
      <c r="T397" s="4" t="s">
        <v>33</v>
      </c>
      <c r="U397" s="16">
        <v>4</v>
      </c>
    </row>
    <row r="398" spans="1:21" x14ac:dyDescent="0.3">
      <c r="A398" s="13" t="s">
        <v>671</v>
      </c>
      <c r="B398" s="45">
        <v>45433</v>
      </c>
      <c r="C398" s="1" t="s">
        <v>573</v>
      </c>
      <c r="D398" s="41" t="s">
        <v>1374</v>
      </c>
      <c r="E398" s="1">
        <v>2024</v>
      </c>
      <c r="F398" s="1" t="s">
        <v>29</v>
      </c>
      <c r="G398" s="60" t="s">
        <v>30</v>
      </c>
      <c r="H398" s="2" t="s">
        <v>50</v>
      </c>
      <c r="I398" s="2" t="s">
        <v>38</v>
      </c>
      <c r="J398" s="2" t="s">
        <v>672</v>
      </c>
      <c r="K398" s="1">
        <v>17</v>
      </c>
      <c r="L398" s="37">
        <v>76.8</v>
      </c>
      <c r="M398" s="3">
        <v>10</v>
      </c>
      <c r="N398" s="37">
        <v>1305.5999999999999</v>
      </c>
      <c r="O398" s="37">
        <v>130.56</v>
      </c>
      <c r="P398" s="53">
        <v>1175.04</v>
      </c>
      <c r="Q398" s="37">
        <v>750.11</v>
      </c>
      <c r="R398" s="37">
        <v>424.93</v>
      </c>
      <c r="S398" s="3">
        <v>36.200000000000003</v>
      </c>
      <c r="T398" s="1" t="s">
        <v>44</v>
      </c>
      <c r="U398" s="15">
        <v>2</v>
      </c>
    </row>
    <row r="399" spans="1:21" x14ac:dyDescent="0.3">
      <c r="A399" s="14" t="s">
        <v>673</v>
      </c>
      <c r="B399" s="46">
        <v>45433</v>
      </c>
      <c r="C399" s="4" t="s">
        <v>573</v>
      </c>
      <c r="D399" s="42" t="s">
        <v>1374</v>
      </c>
      <c r="E399" s="4">
        <v>2024</v>
      </c>
      <c r="F399" s="4" t="s">
        <v>35</v>
      </c>
      <c r="G399" s="61" t="s">
        <v>66</v>
      </c>
      <c r="H399" s="5" t="s">
        <v>50</v>
      </c>
      <c r="I399" s="5" t="s">
        <v>75</v>
      </c>
      <c r="J399" s="5" t="s">
        <v>674</v>
      </c>
      <c r="K399" s="4">
        <v>3</v>
      </c>
      <c r="L399" s="38">
        <v>129.63</v>
      </c>
      <c r="M399" s="6">
        <v>0</v>
      </c>
      <c r="N399" s="38">
        <v>388.89</v>
      </c>
      <c r="O399" s="38">
        <v>0</v>
      </c>
      <c r="P399" s="54">
        <v>388.89</v>
      </c>
      <c r="Q399" s="38">
        <v>189.64</v>
      </c>
      <c r="R399" s="38">
        <v>199.25</v>
      </c>
      <c r="S399" s="6">
        <v>51.2</v>
      </c>
      <c r="T399" s="4" t="s">
        <v>27</v>
      </c>
      <c r="U399" s="16">
        <v>1</v>
      </c>
    </row>
    <row r="400" spans="1:21" x14ac:dyDescent="0.3">
      <c r="A400" s="13" t="s">
        <v>675</v>
      </c>
      <c r="B400" s="45">
        <v>45433</v>
      </c>
      <c r="C400" s="1" t="s">
        <v>573</v>
      </c>
      <c r="D400" s="41" t="s">
        <v>1374</v>
      </c>
      <c r="E400" s="1">
        <v>2024</v>
      </c>
      <c r="F400" s="1" t="s">
        <v>41</v>
      </c>
      <c r="G400" s="60" t="s">
        <v>122</v>
      </c>
      <c r="H400" s="2" t="s">
        <v>24</v>
      </c>
      <c r="I400" s="2" t="s">
        <v>38</v>
      </c>
      <c r="J400" s="2" t="s">
        <v>676</v>
      </c>
      <c r="K400" s="1">
        <v>9</v>
      </c>
      <c r="L400" s="37">
        <v>27.39</v>
      </c>
      <c r="M400" s="3">
        <v>0</v>
      </c>
      <c r="N400" s="37">
        <v>246.51</v>
      </c>
      <c r="O400" s="37">
        <v>0</v>
      </c>
      <c r="P400" s="53">
        <v>246.51</v>
      </c>
      <c r="Q400" s="37">
        <v>120.35</v>
      </c>
      <c r="R400" s="37">
        <v>126.16</v>
      </c>
      <c r="S400" s="3">
        <v>51.2</v>
      </c>
      <c r="T400" s="1" t="s">
        <v>33</v>
      </c>
      <c r="U400" s="15">
        <v>2</v>
      </c>
    </row>
    <row r="401" spans="1:21" x14ac:dyDescent="0.3">
      <c r="A401" s="14" t="s">
        <v>677</v>
      </c>
      <c r="B401" s="46">
        <v>45433</v>
      </c>
      <c r="C401" s="4" t="s">
        <v>573</v>
      </c>
      <c r="D401" s="42" t="s">
        <v>1374</v>
      </c>
      <c r="E401" s="4">
        <v>2024</v>
      </c>
      <c r="F401" s="4" t="s">
        <v>53</v>
      </c>
      <c r="G401" s="61" t="s">
        <v>58</v>
      </c>
      <c r="H401" s="5" t="s">
        <v>24</v>
      </c>
      <c r="I401" s="5" t="s">
        <v>47</v>
      </c>
      <c r="J401" s="5" t="s">
        <v>89</v>
      </c>
      <c r="K401" s="4">
        <v>19</v>
      </c>
      <c r="L401" s="38">
        <v>471.91</v>
      </c>
      <c r="M401" s="6">
        <v>15</v>
      </c>
      <c r="N401" s="38">
        <v>8966.2900000000009</v>
      </c>
      <c r="O401" s="38">
        <v>1344.94</v>
      </c>
      <c r="P401" s="54">
        <v>7621.35</v>
      </c>
      <c r="Q401" s="38">
        <v>4009.2</v>
      </c>
      <c r="R401" s="38">
        <v>3612.15</v>
      </c>
      <c r="S401" s="6">
        <v>47.4</v>
      </c>
      <c r="T401" s="4" t="s">
        <v>44</v>
      </c>
      <c r="U401" s="16">
        <v>1</v>
      </c>
    </row>
    <row r="402" spans="1:21" x14ac:dyDescent="0.3">
      <c r="A402" s="13" t="s">
        <v>678</v>
      </c>
      <c r="B402" s="45">
        <v>45434</v>
      </c>
      <c r="C402" s="1" t="s">
        <v>573</v>
      </c>
      <c r="D402" s="41" t="s">
        <v>1374</v>
      </c>
      <c r="E402" s="1">
        <v>2024</v>
      </c>
      <c r="F402" s="1" t="s">
        <v>41</v>
      </c>
      <c r="G402" s="60" t="s">
        <v>54</v>
      </c>
      <c r="H402" s="2" t="s">
        <v>37</v>
      </c>
      <c r="I402" s="2" t="s">
        <v>38</v>
      </c>
      <c r="J402" s="2" t="s">
        <v>679</v>
      </c>
      <c r="K402" s="1">
        <v>3</v>
      </c>
      <c r="L402" s="37">
        <v>78.67</v>
      </c>
      <c r="M402" s="3">
        <v>5</v>
      </c>
      <c r="N402" s="37">
        <v>236.01</v>
      </c>
      <c r="O402" s="37">
        <v>11.8</v>
      </c>
      <c r="P402" s="53">
        <v>224.21</v>
      </c>
      <c r="Q402" s="37">
        <v>80.31</v>
      </c>
      <c r="R402" s="37">
        <v>143.9</v>
      </c>
      <c r="S402" s="3">
        <v>64.2</v>
      </c>
      <c r="T402" s="1" t="s">
        <v>27</v>
      </c>
      <c r="U402" s="15">
        <v>4</v>
      </c>
    </row>
    <row r="403" spans="1:21" x14ac:dyDescent="0.3">
      <c r="A403" s="14" t="s">
        <v>680</v>
      </c>
      <c r="B403" s="46">
        <v>45434</v>
      </c>
      <c r="C403" s="4" t="s">
        <v>573</v>
      </c>
      <c r="D403" s="42" t="s">
        <v>1374</v>
      </c>
      <c r="E403" s="4">
        <v>2024</v>
      </c>
      <c r="F403" s="4" t="s">
        <v>41</v>
      </c>
      <c r="G403" s="61" t="s">
        <v>46</v>
      </c>
      <c r="H403" s="5" t="s">
        <v>37</v>
      </c>
      <c r="I403" s="5" t="s">
        <v>75</v>
      </c>
      <c r="J403" s="5" t="s">
        <v>370</v>
      </c>
      <c r="K403" s="4">
        <v>16</v>
      </c>
      <c r="L403" s="38">
        <v>314.19</v>
      </c>
      <c r="M403" s="6">
        <v>0</v>
      </c>
      <c r="N403" s="38">
        <v>5027.04</v>
      </c>
      <c r="O403" s="38">
        <v>0</v>
      </c>
      <c r="P403" s="54">
        <v>5027.04</v>
      </c>
      <c r="Q403" s="38">
        <v>1934.81</v>
      </c>
      <c r="R403" s="38">
        <v>3092.23</v>
      </c>
      <c r="S403" s="6">
        <v>61.5</v>
      </c>
      <c r="T403" s="4" t="s">
        <v>44</v>
      </c>
      <c r="U403" s="16">
        <v>3</v>
      </c>
    </row>
    <row r="404" spans="1:21" x14ac:dyDescent="0.3">
      <c r="A404" s="13" t="s">
        <v>681</v>
      </c>
      <c r="B404" s="45">
        <v>45434</v>
      </c>
      <c r="C404" s="1" t="s">
        <v>573</v>
      </c>
      <c r="D404" s="41" t="s">
        <v>1374</v>
      </c>
      <c r="E404" s="1">
        <v>2024</v>
      </c>
      <c r="F404" s="1" t="s">
        <v>35</v>
      </c>
      <c r="G404" s="60" t="s">
        <v>91</v>
      </c>
      <c r="H404" s="2" t="s">
        <v>37</v>
      </c>
      <c r="I404" s="2" t="s">
        <v>55</v>
      </c>
      <c r="J404" s="2" t="s">
        <v>637</v>
      </c>
      <c r="K404" s="1">
        <v>15</v>
      </c>
      <c r="L404" s="37">
        <v>860.64</v>
      </c>
      <c r="M404" s="3">
        <v>0</v>
      </c>
      <c r="N404" s="37">
        <v>12909.6</v>
      </c>
      <c r="O404" s="37">
        <v>0</v>
      </c>
      <c r="P404" s="53">
        <v>12909.6</v>
      </c>
      <c r="Q404" s="37">
        <v>4779.99</v>
      </c>
      <c r="R404" s="37">
        <v>8129.61</v>
      </c>
      <c r="S404" s="3">
        <v>63</v>
      </c>
      <c r="T404" s="1" t="s">
        <v>27</v>
      </c>
      <c r="U404" s="15">
        <v>3</v>
      </c>
    </row>
    <row r="405" spans="1:21" x14ac:dyDescent="0.3">
      <c r="A405" s="14" t="s">
        <v>682</v>
      </c>
      <c r="B405" s="46">
        <v>45434</v>
      </c>
      <c r="C405" s="4" t="s">
        <v>573</v>
      </c>
      <c r="D405" s="42" t="s">
        <v>1374</v>
      </c>
      <c r="E405" s="4">
        <v>2024</v>
      </c>
      <c r="F405" s="4" t="s">
        <v>53</v>
      </c>
      <c r="G405" s="61" t="s">
        <v>122</v>
      </c>
      <c r="H405" s="5" t="s">
        <v>59</v>
      </c>
      <c r="I405" s="5" t="s">
        <v>31</v>
      </c>
      <c r="J405" s="5" t="s">
        <v>258</v>
      </c>
      <c r="K405" s="4">
        <v>17</v>
      </c>
      <c r="L405" s="38">
        <v>142.69</v>
      </c>
      <c r="M405" s="6">
        <v>0</v>
      </c>
      <c r="N405" s="38">
        <v>2425.73</v>
      </c>
      <c r="O405" s="38">
        <v>0</v>
      </c>
      <c r="P405" s="54">
        <v>2425.73</v>
      </c>
      <c r="Q405" s="38">
        <v>1310.1300000000001</v>
      </c>
      <c r="R405" s="38">
        <v>1115.5999999999999</v>
      </c>
      <c r="S405" s="6">
        <v>46</v>
      </c>
      <c r="T405" s="4" t="s">
        <v>27</v>
      </c>
      <c r="U405" s="16">
        <v>2</v>
      </c>
    </row>
    <row r="406" spans="1:21" x14ac:dyDescent="0.3">
      <c r="A406" s="13" t="s">
        <v>683</v>
      </c>
      <c r="B406" s="45">
        <v>45434</v>
      </c>
      <c r="C406" s="1" t="s">
        <v>573</v>
      </c>
      <c r="D406" s="41" t="s">
        <v>1374</v>
      </c>
      <c r="E406" s="1">
        <v>2024</v>
      </c>
      <c r="F406" s="1" t="s">
        <v>41</v>
      </c>
      <c r="G406" s="60" t="s">
        <v>54</v>
      </c>
      <c r="H406" s="2" t="s">
        <v>24</v>
      </c>
      <c r="I406" s="2" t="s">
        <v>55</v>
      </c>
      <c r="J406" s="2" t="s">
        <v>223</v>
      </c>
      <c r="K406" s="1">
        <v>12</v>
      </c>
      <c r="L406" s="37">
        <v>612.35</v>
      </c>
      <c r="M406" s="3">
        <v>10</v>
      </c>
      <c r="N406" s="37">
        <v>7348.2</v>
      </c>
      <c r="O406" s="37">
        <v>734.82</v>
      </c>
      <c r="P406" s="53">
        <v>6613.38</v>
      </c>
      <c r="Q406" s="37">
        <v>4287.1899999999996</v>
      </c>
      <c r="R406" s="37">
        <v>2326.19</v>
      </c>
      <c r="S406" s="3">
        <v>35.200000000000003</v>
      </c>
      <c r="T406" s="1" t="s">
        <v>27</v>
      </c>
      <c r="U406" s="15">
        <v>1</v>
      </c>
    </row>
    <row r="407" spans="1:21" x14ac:dyDescent="0.3">
      <c r="A407" s="14" t="s">
        <v>684</v>
      </c>
      <c r="B407" s="46">
        <v>45434</v>
      </c>
      <c r="C407" s="4" t="s">
        <v>573</v>
      </c>
      <c r="D407" s="42" t="s">
        <v>1374</v>
      </c>
      <c r="E407" s="4">
        <v>2024</v>
      </c>
      <c r="F407" s="4" t="s">
        <v>22</v>
      </c>
      <c r="G407" s="61" t="s">
        <v>36</v>
      </c>
      <c r="H407" s="5" t="s">
        <v>59</v>
      </c>
      <c r="I407" s="5" t="s">
        <v>55</v>
      </c>
      <c r="J407" s="5" t="s">
        <v>581</v>
      </c>
      <c r="K407" s="4">
        <v>2</v>
      </c>
      <c r="L407" s="38">
        <v>601.77</v>
      </c>
      <c r="M407" s="6">
        <v>5</v>
      </c>
      <c r="N407" s="38">
        <v>1203.54</v>
      </c>
      <c r="O407" s="38">
        <v>60.18</v>
      </c>
      <c r="P407" s="54">
        <v>1143.3599999999999</v>
      </c>
      <c r="Q407" s="38">
        <v>632.36</v>
      </c>
      <c r="R407" s="38">
        <v>511</v>
      </c>
      <c r="S407" s="6">
        <v>44.7</v>
      </c>
      <c r="T407" s="4" t="s">
        <v>44</v>
      </c>
      <c r="U407" s="16">
        <v>2</v>
      </c>
    </row>
    <row r="408" spans="1:21" x14ac:dyDescent="0.3">
      <c r="A408" s="13" t="s">
        <v>685</v>
      </c>
      <c r="B408" s="45">
        <v>45434</v>
      </c>
      <c r="C408" s="1" t="s">
        <v>573</v>
      </c>
      <c r="D408" s="41" t="s">
        <v>1374</v>
      </c>
      <c r="E408" s="1">
        <v>2024</v>
      </c>
      <c r="F408" s="1" t="s">
        <v>29</v>
      </c>
      <c r="G408" s="60" t="s">
        <v>42</v>
      </c>
      <c r="H408" s="2" t="s">
        <v>50</v>
      </c>
      <c r="I408" s="2" t="s">
        <v>47</v>
      </c>
      <c r="J408" s="2" t="s">
        <v>515</v>
      </c>
      <c r="K408" s="1">
        <v>16</v>
      </c>
      <c r="L408" s="37">
        <v>289.02999999999997</v>
      </c>
      <c r="M408" s="3">
        <v>0</v>
      </c>
      <c r="N408" s="37">
        <v>4624.4799999999996</v>
      </c>
      <c r="O408" s="37">
        <v>0</v>
      </c>
      <c r="P408" s="53">
        <v>4624.4799999999996</v>
      </c>
      <c r="Q408" s="37">
        <v>1937.56</v>
      </c>
      <c r="R408" s="37">
        <v>2686.92</v>
      </c>
      <c r="S408" s="3">
        <v>58.1</v>
      </c>
      <c r="T408" s="1" t="s">
        <v>44</v>
      </c>
      <c r="U408" s="15">
        <v>1</v>
      </c>
    </row>
    <row r="409" spans="1:21" x14ac:dyDescent="0.3">
      <c r="A409" s="14" t="s">
        <v>686</v>
      </c>
      <c r="B409" s="46">
        <v>45434</v>
      </c>
      <c r="C409" s="4" t="s">
        <v>573</v>
      </c>
      <c r="D409" s="42" t="s">
        <v>1374</v>
      </c>
      <c r="E409" s="4">
        <v>2024</v>
      </c>
      <c r="F409" s="4" t="s">
        <v>29</v>
      </c>
      <c r="G409" s="61" t="s">
        <v>66</v>
      </c>
      <c r="H409" s="5" t="s">
        <v>59</v>
      </c>
      <c r="I409" s="5" t="s">
        <v>75</v>
      </c>
      <c r="J409" s="5" t="s">
        <v>76</v>
      </c>
      <c r="K409" s="4">
        <v>19</v>
      </c>
      <c r="L409" s="38">
        <v>375.43</v>
      </c>
      <c r="M409" s="6">
        <v>15</v>
      </c>
      <c r="N409" s="38">
        <v>7133.17</v>
      </c>
      <c r="O409" s="38">
        <v>1069.98</v>
      </c>
      <c r="P409" s="54">
        <v>6063.19</v>
      </c>
      <c r="Q409" s="38">
        <v>2696.42</v>
      </c>
      <c r="R409" s="38">
        <v>3366.77</v>
      </c>
      <c r="S409" s="6">
        <v>55.5</v>
      </c>
      <c r="T409" s="4" t="s">
        <v>44</v>
      </c>
      <c r="U409" s="16">
        <v>3</v>
      </c>
    </row>
    <row r="410" spans="1:21" x14ac:dyDescent="0.3">
      <c r="A410" s="13" t="s">
        <v>687</v>
      </c>
      <c r="B410" s="45">
        <v>45434</v>
      </c>
      <c r="C410" s="1" t="s">
        <v>573</v>
      </c>
      <c r="D410" s="41" t="s">
        <v>1374</v>
      </c>
      <c r="E410" s="1">
        <v>2024</v>
      </c>
      <c r="F410" s="1" t="s">
        <v>22</v>
      </c>
      <c r="G410" s="60" t="s">
        <v>122</v>
      </c>
      <c r="H410" s="2" t="s">
        <v>59</v>
      </c>
      <c r="I410" s="2" t="s">
        <v>55</v>
      </c>
      <c r="J410" s="2" t="s">
        <v>457</v>
      </c>
      <c r="K410" s="1">
        <v>6</v>
      </c>
      <c r="L410" s="37">
        <v>879.91</v>
      </c>
      <c r="M410" s="3">
        <v>5</v>
      </c>
      <c r="N410" s="37">
        <v>5279.46</v>
      </c>
      <c r="O410" s="37">
        <v>263.97000000000003</v>
      </c>
      <c r="P410" s="53">
        <v>5015.49</v>
      </c>
      <c r="Q410" s="37">
        <v>3193.03</v>
      </c>
      <c r="R410" s="37">
        <v>1822.46</v>
      </c>
      <c r="S410" s="3">
        <v>36.299999999999997</v>
      </c>
      <c r="T410" s="1" t="s">
        <v>44</v>
      </c>
      <c r="U410" s="15">
        <v>4</v>
      </c>
    </row>
    <row r="411" spans="1:21" x14ac:dyDescent="0.3">
      <c r="A411" s="14" t="s">
        <v>688</v>
      </c>
      <c r="B411" s="46">
        <v>45435</v>
      </c>
      <c r="C411" s="4" t="s">
        <v>573</v>
      </c>
      <c r="D411" s="42" t="s">
        <v>1374</v>
      </c>
      <c r="E411" s="4">
        <v>2024</v>
      </c>
      <c r="F411" s="4" t="s">
        <v>29</v>
      </c>
      <c r="G411" s="61" t="s">
        <v>122</v>
      </c>
      <c r="H411" s="5" t="s">
        <v>50</v>
      </c>
      <c r="I411" s="5" t="s">
        <v>55</v>
      </c>
      <c r="J411" s="5" t="s">
        <v>189</v>
      </c>
      <c r="K411" s="4">
        <v>12</v>
      </c>
      <c r="L411" s="38">
        <v>380.96</v>
      </c>
      <c r="M411" s="6">
        <v>0</v>
      </c>
      <c r="N411" s="38">
        <v>4571.5200000000004</v>
      </c>
      <c r="O411" s="38">
        <v>0</v>
      </c>
      <c r="P411" s="54">
        <v>4571.5200000000004</v>
      </c>
      <c r="Q411" s="38">
        <v>2308.39</v>
      </c>
      <c r="R411" s="38">
        <v>2263.13</v>
      </c>
      <c r="S411" s="6">
        <v>49.5</v>
      </c>
      <c r="T411" s="4" t="s">
        <v>44</v>
      </c>
      <c r="U411" s="16">
        <v>1</v>
      </c>
    </row>
    <row r="412" spans="1:21" x14ac:dyDescent="0.3">
      <c r="A412" s="13" t="s">
        <v>689</v>
      </c>
      <c r="B412" s="45">
        <v>45436</v>
      </c>
      <c r="C412" s="1" t="s">
        <v>573</v>
      </c>
      <c r="D412" s="41" t="s">
        <v>1374</v>
      </c>
      <c r="E412" s="1">
        <v>2024</v>
      </c>
      <c r="F412" s="1" t="s">
        <v>35</v>
      </c>
      <c r="G412" s="60" t="s">
        <v>54</v>
      </c>
      <c r="H412" s="2" t="s">
        <v>59</v>
      </c>
      <c r="I412" s="2" t="s">
        <v>31</v>
      </c>
      <c r="J412" s="2" t="s">
        <v>249</v>
      </c>
      <c r="K412" s="1">
        <v>6</v>
      </c>
      <c r="L412" s="37">
        <v>121.09</v>
      </c>
      <c r="M412" s="3">
        <v>0</v>
      </c>
      <c r="N412" s="37">
        <v>726.54</v>
      </c>
      <c r="O412" s="37">
        <v>0</v>
      </c>
      <c r="P412" s="53">
        <v>726.54</v>
      </c>
      <c r="Q412" s="37">
        <v>256.41000000000003</v>
      </c>
      <c r="R412" s="37">
        <v>470.13</v>
      </c>
      <c r="S412" s="3">
        <v>64.7</v>
      </c>
      <c r="T412" s="1" t="s">
        <v>44</v>
      </c>
      <c r="U412" s="15">
        <v>3</v>
      </c>
    </row>
    <row r="413" spans="1:21" x14ac:dyDescent="0.3">
      <c r="A413" s="14" t="s">
        <v>690</v>
      </c>
      <c r="B413" s="46">
        <v>45436</v>
      </c>
      <c r="C413" s="4" t="s">
        <v>573</v>
      </c>
      <c r="D413" s="42" t="s">
        <v>1374</v>
      </c>
      <c r="E413" s="4">
        <v>2024</v>
      </c>
      <c r="F413" s="4" t="s">
        <v>22</v>
      </c>
      <c r="G413" s="61" t="s">
        <v>122</v>
      </c>
      <c r="H413" s="5" t="s">
        <v>59</v>
      </c>
      <c r="I413" s="5" t="s">
        <v>25</v>
      </c>
      <c r="J413" s="5" t="s">
        <v>691</v>
      </c>
      <c r="K413" s="4">
        <v>9</v>
      </c>
      <c r="L413" s="38">
        <v>86.05</v>
      </c>
      <c r="M413" s="6">
        <v>0</v>
      </c>
      <c r="N413" s="38">
        <v>774.45</v>
      </c>
      <c r="O413" s="38">
        <v>0</v>
      </c>
      <c r="P413" s="54">
        <v>774.45</v>
      </c>
      <c r="Q413" s="38">
        <v>464.4</v>
      </c>
      <c r="R413" s="38">
        <v>310.05</v>
      </c>
      <c r="S413" s="6">
        <v>40</v>
      </c>
      <c r="T413" s="4" t="s">
        <v>44</v>
      </c>
      <c r="U413" s="16">
        <v>4</v>
      </c>
    </row>
    <row r="414" spans="1:21" x14ac:dyDescent="0.3">
      <c r="A414" s="13" t="s">
        <v>692</v>
      </c>
      <c r="B414" s="45">
        <v>45436</v>
      </c>
      <c r="C414" s="1" t="s">
        <v>573</v>
      </c>
      <c r="D414" s="41" t="s">
        <v>1374</v>
      </c>
      <c r="E414" s="1">
        <v>2024</v>
      </c>
      <c r="F414" s="1" t="s">
        <v>35</v>
      </c>
      <c r="G414" s="60" t="s">
        <v>46</v>
      </c>
      <c r="H414" s="2" t="s">
        <v>37</v>
      </c>
      <c r="I414" s="2" t="s">
        <v>31</v>
      </c>
      <c r="J414" s="2" t="s">
        <v>374</v>
      </c>
      <c r="K414" s="1">
        <v>4</v>
      </c>
      <c r="L414" s="37">
        <v>180.72</v>
      </c>
      <c r="M414" s="3">
        <v>0</v>
      </c>
      <c r="N414" s="37">
        <v>722.88</v>
      </c>
      <c r="O414" s="37">
        <v>0</v>
      </c>
      <c r="P414" s="53">
        <v>722.88</v>
      </c>
      <c r="Q414" s="37">
        <v>306.85000000000002</v>
      </c>
      <c r="R414" s="37">
        <v>416.03</v>
      </c>
      <c r="S414" s="3">
        <v>57.6</v>
      </c>
      <c r="T414" s="1" t="s">
        <v>44</v>
      </c>
      <c r="U414" s="15">
        <v>4</v>
      </c>
    </row>
    <row r="415" spans="1:21" x14ac:dyDescent="0.3">
      <c r="A415" s="14" t="s">
        <v>693</v>
      </c>
      <c r="B415" s="46">
        <v>45437</v>
      </c>
      <c r="C415" s="4" t="s">
        <v>573</v>
      </c>
      <c r="D415" s="42" t="s">
        <v>1374</v>
      </c>
      <c r="E415" s="4">
        <v>2024</v>
      </c>
      <c r="F415" s="4" t="s">
        <v>53</v>
      </c>
      <c r="G415" s="61" t="s">
        <v>42</v>
      </c>
      <c r="H415" s="5" t="s">
        <v>50</v>
      </c>
      <c r="I415" s="5" t="s">
        <v>75</v>
      </c>
      <c r="J415" s="5" t="s">
        <v>407</v>
      </c>
      <c r="K415" s="4">
        <v>19</v>
      </c>
      <c r="L415" s="38">
        <v>172.95</v>
      </c>
      <c r="M415" s="6">
        <v>15</v>
      </c>
      <c r="N415" s="38">
        <v>3286.05</v>
      </c>
      <c r="O415" s="38">
        <v>492.91</v>
      </c>
      <c r="P415" s="54">
        <v>2793.14</v>
      </c>
      <c r="Q415" s="38">
        <v>1055.54</v>
      </c>
      <c r="R415" s="38">
        <v>1737.6</v>
      </c>
      <c r="S415" s="6">
        <v>62.2</v>
      </c>
      <c r="T415" s="4" t="s">
        <v>44</v>
      </c>
      <c r="U415" s="16">
        <v>5</v>
      </c>
    </row>
    <row r="416" spans="1:21" x14ac:dyDescent="0.3">
      <c r="A416" s="13" t="s">
        <v>694</v>
      </c>
      <c r="B416" s="45">
        <v>45437</v>
      </c>
      <c r="C416" s="1" t="s">
        <v>573</v>
      </c>
      <c r="D416" s="41" t="s">
        <v>1374</v>
      </c>
      <c r="E416" s="1">
        <v>2024</v>
      </c>
      <c r="F416" s="1" t="s">
        <v>29</v>
      </c>
      <c r="G416" s="60" t="s">
        <v>54</v>
      </c>
      <c r="H416" s="2" t="s">
        <v>50</v>
      </c>
      <c r="I416" s="2" t="s">
        <v>75</v>
      </c>
      <c r="J416" s="2" t="s">
        <v>137</v>
      </c>
      <c r="K416" s="1">
        <v>4</v>
      </c>
      <c r="L416" s="37">
        <v>154.43</v>
      </c>
      <c r="M416" s="3">
        <v>0</v>
      </c>
      <c r="N416" s="37">
        <v>617.72</v>
      </c>
      <c r="O416" s="37">
        <v>0</v>
      </c>
      <c r="P416" s="53">
        <v>617.72</v>
      </c>
      <c r="Q416" s="37">
        <v>341.05</v>
      </c>
      <c r="R416" s="37">
        <v>276.67</v>
      </c>
      <c r="S416" s="3">
        <v>44.8</v>
      </c>
      <c r="T416" s="1" t="s">
        <v>44</v>
      </c>
      <c r="U416" s="15">
        <v>2</v>
      </c>
    </row>
    <row r="417" spans="1:21" x14ac:dyDescent="0.3">
      <c r="A417" s="14" t="s">
        <v>695</v>
      </c>
      <c r="B417" s="46">
        <v>45437</v>
      </c>
      <c r="C417" s="4" t="s">
        <v>573</v>
      </c>
      <c r="D417" s="42" t="s">
        <v>1374</v>
      </c>
      <c r="E417" s="4">
        <v>2024</v>
      </c>
      <c r="F417" s="4" t="s">
        <v>35</v>
      </c>
      <c r="G417" s="61" t="s">
        <v>42</v>
      </c>
      <c r="H417" s="5" t="s">
        <v>50</v>
      </c>
      <c r="I417" s="5" t="s">
        <v>47</v>
      </c>
      <c r="J417" s="5" t="s">
        <v>332</v>
      </c>
      <c r="K417" s="4">
        <v>8</v>
      </c>
      <c r="L417" s="38">
        <v>391.07</v>
      </c>
      <c r="M417" s="6">
        <v>0</v>
      </c>
      <c r="N417" s="38">
        <v>3128.56</v>
      </c>
      <c r="O417" s="38">
        <v>0</v>
      </c>
      <c r="P417" s="54">
        <v>3128.56</v>
      </c>
      <c r="Q417" s="38">
        <v>1865.63</v>
      </c>
      <c r="R417" s="38">
        <v>1262.93</v>
      </c>
      <c r="S417" s="6">
        <v>40.4</v>
      </c>
      <c r="T417" s="4" t="s">
        <v>27</v>
      </c>
      <c r="U417" s="16">
        <v>3</v>
      </c>
    </row>
    <row r="418" spans="1:21" x14ac:dyDescent="0.3">
      <c r="A418" s="13" t="s">
        <v>696</v>
      </c>
      <c r="B418" s="45">
        <v>45438</v>
      </c>
      <c r="C418" s="1" t="s">
        <v>573</v>
      </c>
      <c r="D418" s="41" t="s">
        <v>1374</v>
      </c>
      <c r="E418" s="1">
        <v>2024</v>
      </c>
      <c r="F418" s="1" t="s">
        <v>29</v>
      </c>
      <c r="G418" s="60" t="s">
        <v>91</v>
      </c>
      <c r="H418" s="2" t="s">
        <v>50</v>
      </c>
      <c r="I418" s="2" t="s">
        <v>38</v>
      </c>
      <c r="J418" s="2" t="s">
        <v>140</v>
      </c>
      <c r="K418" s="1">
        <v>17</v>
      </c>
      <c r="L418" s="37">
        <v>15.99</v>
      </c>
      <c r="M418" s="3">
        <v>20</v>
      </c>
      <c r="N418" s="37">
        <v>271.83</v>
      </c>
      <c r="O418" s="37">
        <v>54.37</v>
      </c>
      <c r="P418" s="53">
        <v>217.46</v>
      </c>
      <c r="Q418" s="37">
        <v>81.069999999999993</v>
      </c>
      <c r="R418" s="37">
        <v>136.38999999999999</v>
      </c>
      <c r="S418" s="3">
        <v>62.7</v>
      </c>
      <c r="T418" s="1" t="s">
        <v>27</v>
      </c>
      <c r="U418" s="15">
        <v>2</v>
      </c>
    </row>
    <row r="419" spans="1:21" x14ac:dyDescent="0.3">
      <c r="A419" s="14" t="s">
        <v>697</v>
      </c>
      <c r="B419" s="46">
        <v>45438</v>
      </c>
      <c r="C419" s="4" t="s">
        <v>573</v>
      </c>
      <c r="D419" s="42" t="s">
        <v>1374</v>
      </c>
      <c r="E419" s="4">
        <v>2024</v>
      </c>
      <c r="F419" s="4" t="s">
        <v>53</v>
      </c>
      <c r="G419" s="61" t="s">
        <v>30</v>
      </c>
      <c r="H419" s="5" t="s">
        <v>24</v>
      </c>
      <c r="I419" s="5" t="s">
        <v>38</v>
      </c>
      <c r="J419" s="5" t="s">
        <v>166</v>
      </c>
      <c r="K419" s="4">
        <v>1</v>
      </c>
      <c r="L419" s="38">
        <v>8.15</v>
      </c>
      <c r="M419" s="6">
        <v>10</v>
      </c>
      <c r="N419" s="38">
        <v>8.15</v>
      </c>
      <c r="O419" s="38">
        <v>0.82</v>
      </c>
      <c r="P419" s="54">
        <v>7.33</v>
      </c>
      <c r="Q419" s="38">
        <v>4.6100000000000003</v>
      </c>
      <c r="R419" s="38">
        <v>2.72</v>
      </c>
      <c r="S419" s="6">
        <v>37.1</v>
      </c>
      <c r="T419" s="4" t="s">
        <v>44</v>
      </c>
      <c r="U419" s="16">
        <v>1</v>
      </c>
    </row>
    <row r="420" spans="1:21" x14ac:dyDescent="0.3">
      <c r="A420" s="13" t="s">
        <v>698</v>
      </c>
      <c r="B420" s="45">
        <v>45438</v>
      </c>
      <c r="C420" s="1" t="s">
        <v>573</v>
      </c>
      <c r="D420" s="41" t="s">
        <v>1374</v>
      </c>
      <c r="E420" s="1">
        <v>2024</v>
      </c>
      <c r="F420" s="1" t="s">
        <v>41</v>
      </c>
      <c r="G420" s="60" t="s">
        <v>66</v>
      </c>
      <c r="H420" s="2" t="s">
        <v>24</v>
      </c>
      <c r="I420" s="2" t="s">
        <v>38</v>
      </c>
      <c r="J420" s="2" t="s">
        <v>599</v>
      </c>
      <c r="K420" s="1">
        <v>2</v>
      </c>
      <c r="L420" s="37">
        <v>76.650000000000006</v>
      </c>
      <c r="M420" s="3">
        <v>15</v>
      </c>
      <c r="N420" s="37">
        <v>153.30000000000001</v>
      </c>
      <c r="O420" s="37">
        <v>23</v>
      </c>
      <c r="P420" s="53">
        <v>130.30000000000001</v>
      </c>
      <c r="Q420" s="37">
        <v>64.23</v>
      </c>
      <c r="R420" s="37">
        <v>66.069999999999993</v>
      </c>
      <c r="S420" s="3">
        <v>50.7</v>
      </c>
      <c r="T420" s="1" t="s">
        <v>27</v>
      </c>
      <c r="U420" s="15">
        <v>1</v>
      </c>
    </row>
    <row r="421" spans="1:21" x14ac:dyDescent="0.3">
      <c r="A421" s="14" t="s">
        <v>699</v>
      </c>
      <c r="B421" s="46">
        <v>45439</v>
      </c>
      <c r="C421" s="4" t="s">
        <v>573</v>
      </c>
      <c r="D421" s="42" t="s">
        <v>1374</v>
      </c>
      <c r="E421" s="4">
        <v>2024</v>
      </c>
      <c r="F421" s="4" t="s">
        <v>29</v>
      </c>
      <c r="G421" s="61" t="s">
        <v>23</v>
      </c>
      <c r="H421" s="5" t="s">
        <v>50</v>
      </c>
      <c r="I421" s="5" t="s">
        <v>25</v>
      </c>
      <c r="J421" s="5" t="s">
        <v>213</v>
      </c>
      <c r="K421" s="4">
        <v>1</v>
      </c>
      <c r="L421" s="38">
        <v>21.06</v>
      </c>
      <c r="M421" s="6">
        <v>5</v>
      </c>
      <c r="N421" s="38">
        <v>21.06</v>
      </c>
      <c r="O421" s="38">
        <v>1.05</v>
      </c>
      <c r="P421" s="54">
        <v>20.010000000000002</v>
      </c>
      <c r="Q421" s="38">
        <v>9.1300000000000008</v>
      </c>
      <c r="R421" s="38">
        <v>10.88</v>
      </c>
      <c r="S421" s="6">
        <v>54.4</v>
      </c>
      <c r="T421" s="4" t="s">
        <v>44</v>
      </c>
      <c r="U421" s="16">
        <v>4</v>
      </c>
    </row>
    <row r="422" spans="1:21" x14ac:dyDescent="0.3">
      <c r="A422" s="13" t="s">
        <v>700</v>
      </c>
      <c r="B422" s="45">
        <v>45440</v>
      </c>
      <c r="C422" s="1" t="s">
        <v>573</v>
      </c>
      <c r="D422" s="41" t="s">
        <v>1374</v>
      </c>
      <c r="E422" s="1">
        <v>2024</v>
      </c>
      <c r="F422" s="1" t="s">
        <v>53</v>
      </c>
      <c r="G422" s="60" t="s">
        <v>46</v>
      </c>
      <c r="H422" s="2" t="s">
        <v>24</v>
      </c>
      <c r="I422" s="2" t="s">
        <v>75</v>
      </c>
      <c r="J422" s="2" t="s">
        <v>370</v>
      </c>
      <c r="K422" s="1">
        <v>8</v>
      </c>
      <c r="L422" s="37">
        <v>371.5</v>
      </c>
      <c r="M422" s="3">
        <v>0</v>
      </c>
      <c r="N422" s="37">
        <v>2972</v>
      </c>
      <c r="O422" s="37">
        <v>0</v>
      </c>
      <c r="P422" s="53">
        <v>2972</v>
      </c>
      <c r="Q422" s="37">
        <v>1837.57</v>
      </c>
      <c r="R422" s="37">
        <v>1134.43</v>
      </c>
      <c r="S422" s="3">
        <v>38.200000000000003</v>
      </c>
      <c r="T422" s="1" t="s">
        <v>44</v>
      </c>
      <c r="U422" s="15">
        <v>3</v>
      </c>
    </row>
    <row r="423" spans="1:21" x14ac:dyDescent="0.3">
      <c r="A423" s="14" t="s">
        <v>701</v>
      </c>
      <c r="B423" s="46">
        <v>45441</v>
      </c>
      <c r="C423" s="4" t="s">
        <v>573</v>
      </c>
      <c r="D423" s="42" t="s">
        <v>1374</v>
      </c>
      <c r="E423" s="4">
        <v>2024</v>
      </c>
      <c r="F423" s="4" t="s">
        <v>22</v>
      </c>
      <c r="G423" s="61" t="s">
        <v>54</v>
      </c>
      <c r="H423" s="5" t="s">
        <v>59</v>
      </c>
      <c r="I423" s="5" t="s">
        <v>25</v>
      </c>
      <c r="J423" s="5" t="s">
        <v>702</v>
      </c>
      <c r="K423" s="4">
        <v>2</v>
      </c>
      <c r="L423" s="38">
        <v>101.84</v>
      </c>
      <c r="M423" s="6">
        <v>0</v>
      </c>
      <c r="N423" s="38">
        <v>203.68</v>
      </c>
      <c r="O423" s="38">
        <v>0</v>
      </c>
      <c r="P423" s="54">
        <v>203.68</v>
      </c>
      <c r="Q423" s="38">
        <v>87.73</v>
      </c>
      <c r="R423" s="38">
        <v>115.95</v>
      </c>
      <c r="S423" s="6">
        <v>56.9</v>
      </c>
      <c r="T423" s="4" t="s">
        <v>44</v>
      </c>
      <c r="U423" s="16">
        <v>3</v>
      </c>
    </row>
    <row r="424" spans="1:21" x14ac:dyDescent="0.3">
      <c r="A424" s="13" t="s">
        <v>703</v>
      </c>
      <c r="B424" s="45">
        <v>45441</v>
      </c>
      <c r="C424" s="1" t="s">
        <v>573</v>
      </c>
      <c r="D424" s="41" t="s">
        <v>1374</v>
      </c>
      <c r="E424" s="1">
        <v>2024</v>
      </c>
      <c r="F424" s="1" t="s">
        <v>29</v>
      </c>
      <c r="G424" s="60" t="s">
        <v>46</v>
      </c>
      <c r="H424" s="2" t="s">
        <v>37</v>
      </c>
      <c r="I424" s="2" t="s">
        <v>38</v>
      </c>
      <c r="J424" s="2" t="s">
        <v>431</v>
      </c>
      <c r="K424" s="1">
        <v>16</v>
      </c>
      <c r="L424" s="37">
        <v>61.05</v>
      </c>
      <c r="M424" s="3">
        <v>20</v>
      </c>
      <c r="N424" s="37">
        <v>976.8</v>
      </c>
      <c r="O424" s="37">
        <v>195.36</v>
      </c>
      <c r="P424" s="53">
        <v>781.44</v>
      </c>
      <c r="Q424" s="37">
        <v>495.54</v>
      </c>
      <c r="R424" s="37">
        <v>285.89999999999998</v>
      </c>
      <c r="S424" s="3">
        <v>36.6</v>
      </c>
      <c r="T424" s="1" t="s">
        <v>27</v>
      </c>
      <c r="U424" s="15">
        <v>2</v>
      </c>
    </row>
    <row r="425" spans="1:21" x14ac:dyDescent="0.3">
      <c r="A425" s="14" t="s">
        <v>704</v>
      </c>
      <c r="B425" s="46">
        <v>45442</v>
      </c>
      <c r="C425" s="4" t="s">
        <v>573</v>
      </c>
      <c r="D425" s="42" t="s">
        <v>1374</v>
      </c>
      <c r="E425" s="4">
        <v>2024</v>
      </c>
      <c r="F425" s="4" t="s">
        <v>22</v>
      </c>
      <c r="G425" s="61" t="s">
        <v>122</v>
      </c>
      <c r="H425" s="5" t="s">
        <v>37</v>
      </c>
      <c r="I425" s="5" t="s">
        <v>38</v>
      </c>
      <c r="J425" s="5" t="s">
        <v>247</v>
      </c>
      <c r="K425" s="4">
        <v>12</v>
      </c>
      <c r="L425" s="38">
        <v>21.05</v>
      </c>
      <c r="M425" s="6">
        <v>10</v>
      </c>
      <c r="N425" s="38">
        <v>252.6</v>
      </c>
      <c r="O425" s="38">
        <v>25.26</v>
      </c>
      <c r="P425" s="54">
        <v>227.34</v>
      </c>
      <c r="Q425" s="38">
        <v>126.16</v>
      </c>
      <c r="R425" s="38">
        <v>101.18</v>
      </c>
      <c r="S425" s="6">
        <v>44.5</v>
      </c>
      <c r="T425" s="4" t="s">
        <v>33</v>
      </c>
      <c r="U425" s="16">
        <v>2</v>
      </c>
    </row>
    <row r="426" spans="1:21" x14ac:dyDescent="0.3">
      <c r="A426" s="13" t="s">
        <v>705</v>
      </c>
      <c r="B426" s="45">
        <v>45442</v>
      </c>
      <c r="C426" s="1" t="s">
        <v>573</v>
      </c>
      <c r="D426" s="41" t="s">
        <v>1374</v>
      </c>
      <c r="E426" s="1">
        <v>2024</v>
      </c>
      <c r="F426" s="1" t="s">
        <v>53</v>
      </c>
      <c r="G426" s="60" t="s">
        <v>54</v>
      </c>
      <c r="H426" s="2" t="s">
        <v>59</v>
      </c>
      <c r="I426" s="2" t="s">
        <v>31</v>
      </c>
      <c r="J426" s="2" t="s">
        <v>706</v>
      </c>
      <c r="K426" s="1">
        <v>13</v>
      </c>
      <c r="L426" s="37">
        <v>168.17</v>
      </c>
      <c r="M426" s="3">
        <v>0</v>
      </c>
      <c r="N426" s="37">
        <v>2186.21</v>
      </c>
      <c r="O426" s="37">
        <v>0</v>
      </c>
      <c r="P426" s="53">
        <v>2186.21</v>
      </c>
      <c r="Q426" s="37">
        <v>1361.96</v>
      </c>
      <c r="R426" s="37">
        <v>824.25</v>
      </c>
      <c r="S426" s="3">
        <v>37.700000000000003</v>
      </c>
      <c r="T426" s="1" t="s">
        <v>44</v>
      </c>
      <c r="U426" s="15">
        <v>3</v>
      </c>
    </row>
    <row r="427" spans="1:21" x14ac:dyDescent="0.3">
      <c r="A427" s="14" t="s">
        <v>707</v>
      </c>
      <c r="B427" s="46">
        <v>45442</v>
      </c>
      <c r="C427" s="4" t="s">
        <v>573</v>
      </c>
      <c r="D427" s="42" t="s">
        <v>1374</v>
      </c>
      <c r="E427" s="4">
        <v>2024</v>
      </c>
      <c r="F427" s="4" t="s">
        <v>22</v>
      </c>
      <c r="G427" s="61" t="s">
        <v>66</v>
      </c>
      <c r="H427" s="5" t="s">
        <v>37</v>
      </c>
      <c r="I427" s="5" t="s">
        <v>75</v>
      </c>
      <c r="J427" s="5" t="s">
        <v>708</v>
      </c>
      <c r="K427" s="4">
        <v>5</v>
      </c>
      <c r="L427" s="38">
        <v>126.67</v>
      </c>
      <c r="M427" s="6">
        <v>15</v>
      </c>
      <c r="N427" s="38">
        <v>633.35</v>
      </c>
      <c r="O427" s="38">
        <v>95</v>
      </c>
      <c r="P427" s="54">
        <v>538.35</v>
      </c>
      <c r="Q427" s="38">
        <v>269.01</v>
      </c>
      <c r="R427" s="38">
        <v>269.33999999999997</v>
      </c>
      <c r="S427" s="6">
        <v>50</v>
      </c>
      <c r="T427" s="4" t="s">
        <v>27</v>
      </c>
      <c r="U427" s="16">
        <v>4</v>
      </c>
    </row>
    <row r="428" spans="1:21" x14ac:dyDescent="0.3">
      <c r="A428" s="13" t="s">
        <v>709</v>
      </c>
      <c r="B428" s="45">
        <v>45443</v>
      </c>
      <c r="C428" s="1" t="s">
        <v>573</v>
      </c>
      <c r="D428" s="41" t="s">
        <v>1374</v>
      </c>
      <c r="E428" s="1">
        <v>2024</v>
      </c>
      <c r="F428" s="1" t="s">
        <v>35</v>
      </c>
      <c r="G428" s="60" t="s">
        <v>42</v>
      </c>
      <c r="H428" s="2" t="s">
        <v>59</v>
      </c>
      <c r="I428" s="2" t="s">
        <v>38</v>
      </c>
      <c r="J428" s="2" t="s">
        <v>484</v>
      </c>
      <c r="K428" s="1">
        <v>6</v>
      </c>
      <c r="L428" s="37">
        <v>47.15</v>
      </c>
      <c r="M428" s="3">
        <v>15</v>
      </c>
      <c r="N428" s="37">
        <v>282.89999999999998</v>
      </c>
      <c r="O428" s="37">
        <v>42.43</v>
      </c>
      <c r="P428" s="53">
        <v>240.47</v>
      </c>
      <c r="Q428" s="37">
        <v>98.57</v>
      </c>
      <c r="R428" s="37">
        <v>141.9</v>
      </c>
      <c r="S428" s="3">
        <v>59</v>
      </c>
      <c r="T428" s="1" t="s">
        <v>44</v>
      </c>
      <c r="U428" s="15">
        <v>4</v>
      </c>
    </row>
    <row r="429" spans="1:21" x14ac:dyDescent="0.3">
      <c r="A429" s="14" t="s">
        <v>710</v>
      </c>
      <c r="B429" s="46">
        <v>45443</v>
      </c>
      <c r="C429" s="4" t="s">
        <v>573</v>
      </c>
      <c r="D429" s="42" t="s">
        <v>1374</v>
      </c>
      <c r="E429" s="4">
        <v>2024</v>
      </c>
      <c r="F429" s="4" t="s">
        <v>41</v>
      </c>
      <c r="G429" s="61" t="s">
        <v>42</v>
      </c>
      <c r="H429" s="5" t="s">
        <v>59</v>
      </c>
      <c r="I429" s="5" t="s">
        <v>55</v>
      </c>
      <c r="J429" s="5" t="s">
        <v>455</v>
      </c>
      <c r="K429" s="4">
        <v>2</v>
      </c>
      <c r="L429" s="38">
        <v>362.36</v>
      </c>
      <c r="M429" s="6">
        <v>0</v>
      </c>
      <c r="N429" s="38">
        <v>724.72</v>
      </c>
      <c r="O429" s="38">
        <v>0</v>
      </c>
      <c r="P429" s="54">
        <v>724.72</v>
      </c>
      <c r="Q429" s="38">
        <v>413.55</v>
      </c>
      <c r="R429" s="38">
        <v>311.17</v>
      </c>
      <c r="S429" s="6">
        <v>42.9</v>
      </c>
      <c r="T429" s="4" t="s">
        <v>44</v>
      </c>
      <c r="U429" s="16">
        <v>4</v>
      </c>
    </row>
    <row r="430" spans="1:21" x14ac:dyDescent="0.3">
      <c r="A430" s="13" t="s">
        <v>711</v>
      </c>
      <c r="B430" s="45">
        <v>45443</v>
      </c>
      <c r="C430" s="1" t="s">
        <v>573</v>
      </c>
      <c r="D430" s="41" t="s">
        <v>1374</v>
      </c>
      <c r="E430" s="1">
        <v>2024</v>
      </c>
      <c r="F430" s="1" t="s">
        <v>22</v>
      </c>
      <c r="G430" s="60" t="s">
        <v>122</v>
      </c>
      <c r="H430" s="2" t="s">
        <v>37</v>
      </c>
      <c r="I430" s="2" t="s">
        <v>75</v>
      </c>
      <c r="J430" s="2" t="s">
        <v>440</v>
      </c>
      <c r="K430" s="1">
        <v>18</v>
      </c>
      <c r="L430" s="37">
        <v>65.959999999999994</v>
      </c>
      <c r="M430" s="3">
        <v>0</v>
      </c>
      <c r="N430" s="37">
        <v>1187.28</v>
      </c>
      <c r="O430" s="37">
        <v>0</v>
      </c>
      <c r="P430" s="53">
        <v>1187.28</v>
      </c>
      <c r="Q430" s="37">
        <v>726.4</v>
      </c>
      <c r="R430" s="37">
        <v>460.88</v>
      </c>
      <c r="S430" s="3">
        <v>38.799999999999997</v>
      </c>
      <c r="T430" s="1" t="s">
        <v>33</v>
      </c>
      <c r="U430" s="15">
        <v>5</v>
      </c>
    </row>
    <row r="431" spans="1:21" x14ac:dyDescent="0.3">
      <c r="A431" s="14" t="s">
        <v>712</v>
      </c>
      <c r="B431" s="46">
        <v>45444</v>
      </c>
      <c r="C431" s="4" t="s">
        <v>713</v>
      </c>
      <c r="D431" s="42" t="s">
        <v>1374</v>
      </c>
      <c r="E431" s="4">
        <v>2024</v>
      </c>
      <c r="F431" s="4" t="s">
        <v>35</v>
      </c>
      <c r="G431" s="61" t="s">
        <v>91</v>
      </c>
      <c r="H431" s="5" t="s">
        <v>59</v>
      </c>
      <c r="I431" s="5" t="s">
        <v>25</v>
      </c>
      <c r="J431" s="5" t="s">
        <v>714</v>
      </c>
      <c r="K431" s="4">
        <v>14</v>
      </c>
      <c r="L431" s="38">
        <v>113.72</v>
      </c>
      <c r="M431" s="6">
        <v>15</v>
      </c>
      <c r="N431" s="38">
        <v>1592.08</v>
      </c>
      <c r="O431" s="38">
        <v>238.81</v>
      </c>
      <c r="P431" s="54">
        <v>1353.27</v>
      </c>
      <c r="Q431" s="38">
        <v>557.59</v>
      </c>
      <c r="R431" s="38">
        <v>795.68</v>
      </c>
      <c r="S431" s="6">
        <v>58.8</v>
      </c>
      <c r="T431" s="4" t="s">
        <v>44</v>
      </c>
      <c r="U431" s="16">
        <v>2</v>
      </c>
    </row>
    <row r="432" spans="1:21" x14ac:dyDescent="0.3">
      <c r="A432" s="13" t="s">
        <v>715</v>
      </c>
      <c r="B432" s="45">
        <v>45444</v>
      </c>
      <c r="C432" s="1" t="s">
        <v>713</v>
      </c>
      <c r="D432" s="41" t="s">
        <v>1374</v>
      </c>
      <c r="E432" s="1">
        <v>2024</v>
      </c>
      <c r="F432" s="1" t="s">
        <v>41</v>
      </c>
      <c r="G432" s="60" t="s">
        <v>46</v>
      </c>
      <c r="H432" s="2" t="s">
        <v>37</v>
      </c>
      <c r="I432" s="2" t="s">
        <v>75</v>
      </c>
      <c r="J432" s="2" t="s">
        <v>233</v>
      </c>
      <c r="K432" s="1">
        <v>8</v>
      </c>
      <c r="L432" s="37">
        <v>114.73</v>
      </c>
      <c r="M432" s="3">
        <v>0</v>
      </c>
      <c r="N432" s="37">
        <v>917.84</v>
      </c>
      <c r="O432" s="37">
        <v>0</v>
      </c>
      <c r="P432" s="53">
        <v>917.84</v>
      </c>
      <c r="Q432" s="37">
        <v>377.08</v>
      </c>
      <c r="R432" s="37">
        <v>540.76</v>
      </c>
      <c r="S432" s="3">
        <v>58.9</v>
      </c>
      <c r="T432" s="1" t="s">
        <v>33</v>
      </c>
      <c r="U432" s="15">
        <v>4</v>
      </c>
    </row>
    <row r="433" spans="1:21" x14ac:dyDescent="0.3">
      <c r="A433" s="14" t="s">
        <v>716</v>
      </c>
      <c r="B433" s="46">
        <v>45444</v>
      </c>
      <c r="C433" s="4" t="s">
        <v>713</v>
      </c>
      <c r="D433" s="42" t="s">
        <v>1374</v>
      </c>
      <c r="E433" s="4">
        <v>2024</v>
      </c>
      <c r="F433" s="4" t="s">
        <v>53</v>
      </c>
      <c r="G433" s="61" t="s">
        <v>91</v>
      </c>
      <c r="H433" s="5" t="s">
        <v>50</v>
      </c>
      <c r="I433" s="5" t="s">
        <v>47</v>
      </c>
      <c r="J433" s="5" t="s">
        <v>402</v>
      </c>
      <c r="K433" s="4">
        <v>11</v>
      </c>
      <c r="L433" s="38">
        <v>44.37</v>
      </c>
      <c r="M433" s="6">
        <v>5</v>
      </c>
      <c r="N433" s="38">
        <v>488.07</v>
      </c>
      <c r="O433" s="38">
        <v>24.4</v>
      </c>
      <c r="P433" s="54">
        <v>463.67</v>
      </c>
      <c r="Q433" s="38">
        <v>197.02</v>
      </c>
      <c r="R433" s="38">
        <v>266.64999999999998</v>
      </c>
      <c r="S433" s="6">
        <v>57.5</v>
      </c>
      <c r="T433" s="4" t="s">
        <v>33</v>
      </c>
      <c r="U433" s="16">
        <v>3</v>
      </c>
    </row>
    <row r="434" spans="1:21" x14ac:dyDescent="0.3">
      <c r="A434" s="13" t="s">
        <v>717</v>
      </c>
      <c r="B434" s="45">
        <v>45445</v>
      </c>
      <c r="C434" s="1" t="s">
        <v>713</v>
      </c>
      <c r="D434" s="41" t="s">
        <v>1374</v>
      </c>
      <c r="E434" s="1">
        <v>2024</v>
      </c>
      <c r="F434" s="1" t="s">
        <v>53</v>
      </c>
      <c r="G434" s="60" t="s">
        <v>58</v>
      </c>
      <c r="H434" s="2" t="s">
        <v>37</v>
      </c>
      <c r="I434" s="2" t="s">
        <v>55</v>
      </c>
      <c r="J434" s="2" t="s">
        <v>455</v>
      </c>
      <c r="K434" s="1">
        <v>8</v>
      </c>
      <c r="L434" s="37">
        <v>1090.96</v>
      </c>
      <c r="M434" s="3">
        <v>0</v>
      </c>
      <c r="N434" s="37">
        <v>8727.68</v>
      </c>
      <c r="O434" s="37">
        <v>0</v>
      </c>
      <c r="P434" s="53">
        <v>8727.68</v>
      </c>
      <c r="Q434" s="37">
        <v>4674.3599999999997</v>
      </c>
      <c r="R434" s="37">
        <v>4053.32</v>
      </c>
      <c r="S434" s="3">
        <v>46.4</v>
      </c>
      <c r="T434" s="1" t="s">
        <v>44</v>
      </c>
      <c r="U434" s="15">
        <v>5</v>
      </c>
    </row>
    <row r="435" spans="1:21" x14ac:dyDescent="0.3">
      <c r="A435" s="14" t="s">
        <v>718</v>
      </c>
      <c r="B435" s="46">
        <v>45445</v>
      </c>
      <c r="C435" s="4" t="s">
        <v>713</v>
      </c>
      <c r="D435" s="42" t="s">
        <v>1374</v>
      </c>
      <c r="E435" s="4">
        <v>2024</v>
      </c>
      <c r="F435" s="4" t="s">
        <v>29</v>
      </c>
      <c r="G435" s="61" t="s">
        <v>54</v>
      </c>
      <c r="H435" s="5" t="s">
        <v>37</v>
      </c>
      <c r="I435" s="5" t="s">
        <v>38</v>
      </c>
      <c r="J435" s="5" t="s">
        <v>320</v>
      </c>
      <c r="K435" s="4">
        <v>14</v>
      </c>
      <c r="L435" s="38">
        <v>21.93</v>
      </c>
      <c r="M435" s="6">
        <v>0</v>
      </c>
      <c r="N435" s="38">
        <v>307.02</v>
      </c>
      <c r="O435" s="38">
        <v>0</v>
      </c>
      <c r="P435" s="54">
        <v>307.02</v>
      </c>
      <c r="Q435" s="38">
        <v>121.83</v>
      </c>
      <c r="R435" s="38">
        <v>185.19</v>
      </c>
      <c r="S435" s="6">
        <v>60.3</v>
      </c>
      <c r="T435" s="4" t="s">
        <v>44</v>
      </c>
      <c r="U435" s="16">
        <v>4</v>
      </c>
    </row>
    <row r="436" spans="1:21" x14ac:dyDescent="0.3">
      <c r="A436" s="13" t="s">
        <v>719</v>
      </c>
      <c r="B436" s="45">
        <v>45445</v>
      </c>
      <c r="C436" s="1" t="s">
        <v>713</v>
      </c>
      <c r="D436" s="41" t="s">
        <v>1374</v>
      </c>
      <c r="E436" s="1">
        <v>2024</v>
      </c>
      <c r="F436" s="1" t="s">
        <v>35</v>
      </c>
      <c r="G436" s="60" t="s">
        <v>58</v>
      </c>
      <c r="H436" s="2" t="s">
        <v>50</v>
      </c>
      <c r="I436" s="2" t="s">
        <v>47</v>
      </c>
      <c r="J436" s="2" t="s">
        <v>195</v>
      </c>
      <c r="K436" s="1">
        <v>11</v>
      </c>
      <c r="L436" s="37">
        <v>131.76</v>
      </c>
      <c r="M436" s="3">
        <v>5</v>
      </c>
      <c r="N436" s="37">
        <v>1449.36</v>
      </c>
      <c r="O436" s="37">
        <v>72.47</v>
      </c>
      <c r="P436" s="53">
        <v>1376.89</v>
      </c>
      <c r="Q436" s="37">
        <v>525.98</v>
      </c>
      <c r="R436" s="37">
        <v>850.91</v>
      </c>
      <c r="S436" s="3">
        <v>61.8</v>
      </c>
      <c r="T436" s="1" t="s">
        <v>33</v>
      </c>
      <c r="U436" s="15">
        <v>1</v>
      </c>
    </row>
    <row r="437" spans="1:21" x14ac:dyDescent="0.3">
      <c r="A437" s="14" t="s">
        <v>720</v>
      </c>
      <c r="B437" s="46">
        <v>45446</v>
      </c>
      <c r="C437" s="4" t="s">
        <v>713</v>
      </c>
      <c r="D437" s="42" t="s">
        <v>1374</v>
      </c>
      <c r="E437" s="4">
        <v>2024</v>
      </c>
      <c r="F437" s="4" t="s">
        <v>41</v>
      </c>
      <c r="G437" s="61" t="s">
        <v>46</v>
      </c>
      <c r="H437" s="5" t="s">
        <v>37</v>
      </c>
      <c r="I437" s="5" t="s">
        <v>31</v>
      </c>
      <c r="J437" s="5" t="s">
        <v>721</v>
      </c>
      <c r="K437" s="4">
        <v>9</v>
      </c>
      <c r="L437" s="38">
        <v>33.54</v>
      </c>
      <c r="M437" s="6">
        <v>0</v>
      </c>
      <c r="N437" s="38">
        <v>301.86</v>
      </c>
      <c r="O437" s="38">
        <v>0</v>
      </c>
      <c r="P437" s="54">
        <v>301.86</v>
      </c>
      <c r="Q437" s="38">
        <v>188.98</v>
      </c>
      <c r="R437" s="38">
        <v>112.88</v>
      </c>
      <c r="S437" s="6">
        <v>37.4</v>
      </c>
      <c r="T437" s="4" t="s">
        <v>44</v>
      </c>
      <c r="U437" s="16">
        <v>5</v>
      </c>
    </row>
    <row r="438" spans="1:21" x14ac:dyDescent="0.3">
      <c r="A438" s="13" t="s">
        <v>722</v>
      </c>
      <c r="B438" s="45">
        <v>45446</v>
      </c>
      <c r="C438" s="1" t="s">
        <v>713</v>
      </c>
      <c r="D438" s="41" t="s">
        <v>1374</v>
      </c>
      <c r="E438" s="1">
        <v>2024</v>
      </c>
      <c r="F438" s="1" t="s">
        <v>29</v>
      </c>
      <c r="G438" s="60" t="s">
        <v>122</v>
      </c>
      <c r="H438" s="2" t="s">
        <v>59</v>
      </c>
      <c r="I438" s="2" t="s">
        <v>75</v>
      </c>
      <c r="J438" s="2" t="s">
        <v>370</v>
      </c>
      <c r="K438" s="1">
        <v>3</v>
      </c>
      <c r="L438" s="37">
        <v>148.86000000000001</v>
      </c>
      <c r="M438" s="3">
        <v>0</v>
      </c>
      <c r="N438" s="37">
        <v>446.58</v>
      </c>
      <c r="O438" s="37">
        <v>0</v>
      </c>
      <c r="P438" s="53">
        <v>446.58</v>
      </c>
      <c r="Q438" s="37">
        <v>246.84</v>
      </c>
      <c r="R438" s="37">
        <v>199.74</v>
      </c>
      <c r="S438" s="3">
        <v>44.7</v>
      </c>
      <c r="T438" s="1" t="s">
        <v>27</v>
      </c>
      <c r="U438" s="15">
        <v>5</v>
      </c>
    </row>
    <row r="439" spans="1:21" x14ac:dyDescent="0.3">
      <c r="A439" s="14" t="s">
        <v>723</v>
      </c>
      <c r="B439" s="46">
        <v>45446</v>
      </c>
      <c r="C439" s="4" t="s">
        <v>713</v>
      </c>
      <c r="D439" s="42" t="s">
        <v>1374</v>
      </c>
      <c r="E439" s="4">
        <v>2024</v>
      </c>
      <c r="F439" s="4" t="s">
        <v>29</v>
      </c>
      <c r="G439" s="61" t="s">
        <v>30</v>
      </c>
      <c r="H439" s="5" t="s">
        <v>24</v>
      </c>
      <c r="I439" s="5" t="s">
        <v>75</v>
      </c>
      <c r="J439" s="5" t="s">
        <v>708</v>
      </c>
      <c r="K439" s="4">
        <v>19</v>
      </c>
      <c r="L439" s="38">
        <v>202.15</v>
      </c>
      <c r="M439" s="6">
        <v>20</v>
      </c>
      <c r="N439" s="38">
        <v>3840.85</v>
      </c>
      <c r="O439" s="38">
        <v>768.17</v>
      </c>
      <c r="P439" s="54">
        <v>3072.68</v>
      </c>
      <c r="Q439" s="38">
        <v>1686.98</v>
      </c>
      <c r="R439" s="38">
        <v>1385.7</v>
      </c>
      <c r="S439" s="6">
        <v>45.1</v>
      </c>
      <c r="T439" s="4" t="s">
        <v>44</v>
      </c>
      <c r="U439" s="16">
        <v>2</v>
      </c>
    </row>
    <row r="440" spans="1:21" x14ac:dyDescent="0.3">
      <c r="A440" s="13" t="s">
        <v>724</v>
      </c>
      <c r="B440" s="45">
        <v>45446</v>
      </c>
      <c r="C440" s="1" t="s">
        <v>713</v>
      </c>
      <c r="D440" s="41" t="s">
        <v>1374</v>
      </c>
      <c r="E440" s="1">
        <v>2024</v>
      </c>
      <c r="F440" s="1" t="s">
        <v>53</v>
      </c>
      <c r="G440" s="60" t="s">
        <v>46</v>
      </c>
      <c r="H440" s="2" t="s">
        <v>50</v>
      </c>
      <c r="I440" s="2" t="s">
        <v>31</v>
      </c>
      <c r="J440" s="2" t="s">
        <v>725</v>
      </c>
      <c r="K440" s="1">
        <v>12</v>
      </c>
      <c r="L440" s="37">
        <v>141.02000000000001</v>
      </c>
      <c r="M440" s="3">
        <v>0</v>
      </c>
      <c r="N440" s="37">
        <v>1692.24</v>
      </c>
      <c r="O440" s="37">
        <v>0</v>
      </c>
      <c r="P440" s="53">
        <v>1692.24</v>
      </c>
      <c r="Q440" s="37">
        <v>903.91</v>
      </c>
      <c r="R440" s="37">
        <v>788.33</v>
      </c>
      <c r="S440" s="3">
        <v>46.6</v>
      </c>
      <c r="T440" s="1" t="s">
        <v>44</v>
      </c>
      <c r="U440" s="15">
        <v>1</v>
      </c>
    </row>
    <row r="441" spans="1:21" x14ac:dyDescent="0.3">
      <c r="A441" s="14" t="s">
        <v>726</v>
      </c>
      <c r="B441" s="46">
        <v>45447</v>
      </c>
      <c r="C441" s="4" t="s">
        <v>713</v>
      </c>
      <c r="D441" s="42" t="s">
        <v>1374</v>
      </c>
      <c r="E441" s="4">
        <v>2024</v>
      </c>
      <c r="F441" s="4" t="s">
        <v>22</v>
      </c>
      <c r="G441" s="61" t="s">
        <v>66</v>
      </c>
      <c r="H441" s="5" t="s">
        <v>37</v>
      </c>
      <c r="I441" s="5" t="s">
        <v>47</v>
      </c>
      <c r="J441" s="5" t="s">
        <v>48</v>
      </c>
      <c r="K441" s="4">
        <v>4</v>
      </c>
      <c r="L441" s="38">
        <v>85.98</v>
      </c>
      <c r="M441" s="6">
        <v>20</v>
      </c>
      <c r="N441" s="38">
        <v>343.92</v>
      </c>
      <c r="O441" s="38">
        <v>68.78</v>
      </c>
      <c r="P441" s="54">
        <v>275.14</v>
      </c>
      <c r="Q441" s="38">
        <v>159.38</v>
      </c>
      <c r="R441" s="38">
        <v>115.76</v>
      </c>
      <c r="S441" s="6">
        <v>42.1</v>
      </c>
      <c r="T441" s="4" t="s">
        <v>44</v>
      </c>
      <c r="U441" s="16">
        <v>5</v>
      </c>
    </row>
    <row r="442" spans="1:21" x14ac:dyDescent="0.3">
      <c r="A442" s="13" t="s">
        <v>727</v>
      </c>
      <c r="B442" s="45">
        <v>45447</v>
      </c>
      <c r="C442" s="1" t="s">
        <v>713</v>
      </c>
      <c r="D442" s="41" t="s">
        <v>1374</v>
      </c>
      <c r="E442" s="1">
        <v>2024</v>
      </c>
      <c r="F442" s="1" t="s">
        <v>41</v>
      </c>
      <c r="G442" s="60" t="s">
        <v>54</v>
      </c>
      <c r="H442" s="2" t="s">
        <v>50</v>
      </c>
      <c r="I442" s="2" t="s">
        <v>55</v>
      </c>
      <c r="J442" s="2" t="s">
        <v>197</v>
      </c>
      <c r="K442" s="1">
        <v>17</v>
      </c>
      <c r="L442" s="37">
        <v>1159.2</v>
      </c>
      <c r="M442" s="3">
        <v>0</v>
      </c>
      <c r="N442" s="37">
        <v>19706.400000000001</v>
      </c>
      <c r="O442" s="37">
        <v>0</v>
      </c>
      <c r="P442" s="53">
        <v>19706.400000000001</v>
      </c>
      <c r="Q442" s="37">
        <v>10098.39</v>
      </c>
      <c r="R442" s="37">
        <v>9608.01</v>
      </c>
      <c r="S442" s="3">
        <v>48.8</v>
      </c>
      <c r="T442" s="1" t="s">
        <v>44</v>
      </c>
      <c r="U442" s="15">
        <v>5</v>
      </c>
    </row>
    <row r="443" spans="1:21" x14ac:dyDescent="0.3">
      <c r="A443" s="14" t="s">
        <v>728</v>
      </c>
      <c r="B443" s="46">
        <v>45448</v>
      </c>
      <c r="C443" s="4" t="s">
        <v>713</v>
      </c>
      <c r="D443" s="42" t="s">
        <v>1374</v>
      </c>
      <c r="E443" s="4">
        <v>2024</v>
      </c>
      <c r="F443" s="4" t="s">
        <v>53</v>
      </c>
      <c r="G443" s="61" t="s">
        <v>42</v>
      </c>
      <c r="H443" s="5" t="s">
        <v>50</v>
      </c>
      <c r="I443" s="5" t="s">
        <v>38</v>
      </c>
      <c r="J443" s="5" t="s">
        <v>443</v>
      </c>
      <c r="K443" s="4">
        <v>2</v>
      </c>
      <c r="L443" s="38">
        <v>78.34</v>
      </c>
      <c r="M443" s="6">
        <v>20</v>
      </c>
      <c r="N443" s="38">
        <v>156.68</v>
      </c>
      <c r="O443" s="38">
        <v>31.34</v>
      </c>
      <c r="P443" s="54">
        <v>125.34</v>
      </c>
      <c r="Q443" s="38">
        <v>45.46</v>
      </c>
      <c r="R443" s="38">
        <v>79.88</v>
      </c>
      <c r="S443" s="6">
        <v>63.7</v>
      </c>
      <c r="T443" s="4" t="s">
        <v>44</v>
      </c>
      <c r="U443" s="16">
        <v>2</v>
      </c>
    </row>
    <row r="444" spans="1:21" x14ac:dyDescent="0.3">
      <c r="A444" s="13" t="s">
        <v>729</v>
      </c>
      <c r="B444" s="45">
        <v>45448</v>
      </c>
      <c r="C444" s="1" t="s">
        <v>713</v>
      </c>
      <c r="D444" s="41" t="s">
        <v>1374</v>
      </c>
      <c r="E444" s="1">
        <v>2024</v>
      </c>
      <c r="F444" s="1" t="s">
        <v>53</v>
      </c>
      <c r="G444" s="60" t="s">
        <v>30</v>
      </c>
      <c r="H444" s="2" t="s">
        <v>59</v>
      </c>
      <c r="I444" s="2" t="s">
        <v>47</v>
      </c>
      <c r="J444" s="2" t="s">
        <v>730</v>
      </c>
      <c r="K444" s="1">
        <v>6</v>
      </c>
      <c r="L444" s="37">
        <v>95.81</v>
      </c>
      <c r="M444" s="3">
        <v>0</v>
      </c>
      <c r="N444" s="37">
        <v>574.86</v>
      </c>
      <c r="O444" s="37">
        <v>0</v>
      </c>
      <c r="P444" s="53">
        <v>574.86</v>
      </c>
      <c r="Q444" s="37">
        <v>284.38</v>
      </c>
      <c r="R444" s="37">
        <v>290.48</v>
      </c>
      <c r="S444" s="3">
        <v>50.5</v>
      </c>
      <c r="T444" s="1" t="s">
        <v>27</v>
      </c>
      <c r="U444" s="15">
        <v>3</v>
      </c>
    </row>
    <row r="445" spans="1:21" x14ac:dyDescent="0.3">
      <c r="A445" s="14" t="s">
        <v>731</v>
      </c>
      <c r="B445" s="46">
        <v>45448</v>
      </c>
      <c r="C445" s="4" t="s">
        <v>713</v>
      </c>
      <c r="D445" s="42" t="s">
        <v>1374</v>
      </c>
      <c r="E445" s="4">
        <v>2024</v>
      </c>
      <c r="F445" s="4" t="s">
        <v>22</v>
      </c>
      <c r="G445" s="61" t="s">
        <v>91</v>
      </c>
      <c r="H445" s="5" t="s">
        <v>59</v>
      </c>
      <c r="I445" s="5" t="s">
        <v>25</v>
      </c>
      <c r="J445" s="5" t="s">
        <v>732</v>
      </c>
      <c r="K445" s="4">
        <v>8</v>
      </c>
      <c r="L445" s="38">
        <v>101.4</v>
      </c>
      <c r="M445" s="6">
        <v>0</v>
      </c>
      <c r="N445" s="38">
        <v>811.2</v>
      </c>
      <c r="O445" s="38">
        <v>0</v>
      </c>
      <c r="P445" s="54">
        <v>811.2</v>
      </c>
      <c r="Q445" s="38">
        <v>434.97</v>
      </c>
      <c r="R445" s="38">
        <v>376.23</v>
      </c>
      <c r="S445" s="6">
        <v>46.4</v>
      </c>
      <c r="T445" s="4" t="s">
        <v>27</v>
      </c>
      <c r="U445" s="16">
        <v>3</v>
      </c>
    </row>
    <row r="446" spans="1:21" x14ac:dyDescent="0.3">
      <c r="A446" s="13" t="s">
        <v>733</v>
      </c>
      <c r="B446" s="45">
        <v>45448</v>
      </c>
      <c r="C446" s="1" t="s">
        <v>713</v>
      </c>
      <c r="D446" s="41" t="s">
        <v>1374</v>
      </c>
      <c r="E446" s="1">
        <v>2024</v>
      </c>
      <c r="F446" s="1" t="s">
        <v>35</v>
      </c>
      <c r="G446" s="60" t="s">
        <v>66</v>
      </c>
      <c r="H446" s="2" t="s">
        <v>37</v>
      </c>
      <c r="I446" s="2" t="s">
        <v>38</v>
      </c>
      <c r="J446" s="2" t="s">
        <v>590</v>
      </c>
      <c r="K446" s="1">
        <v>17</v>
      </c>
      <c r="L446" s="37">
        <v>71.05</v>
      </c>
      <c r="M446" s="3">
        <v>20</v>
      </c>
      <c r="N446" s="37">
        <v>1207.8499999999999</v>
      </c>
      <c r="O446" s="37">
        <v>241.57</v>
      </c>
      <c r="P446" s="53">
        <v>966.28</v>
      </c>
      <c r="Q446" s="37">
        <v>480.92</v>
      </c>
      <c r="R446" s="37">
        <v>485.36</v>
      </c>
      <c r="S446" s="3">
        <v>50.2</v>
      </c>
      <c r="T446" s="1" t="s">
        <v>27</v>
      </c>
      <c r="U446" s="15">
        <v>1</v>
      </c>
    </row>
    <row r="447" spans="1:21" x14ac:dyDescent="0.3">
      <c r="A447" s="14" t="s">
        <v>734</v>
      </c>
      <c r="B447" s="46">
        <v>45449</v>
      </c>
      <c r="C447" s="4" t="s">
        <v>713</v>
      </c>
      <c r="D447" s="42" t="s">
        <v>1374</v>
      </c>
      <c r="E447" s="4">
        <v>2024</v>
      </c>
      <c r="F447" s="4" t="s">
        <v>35</v>
      </c>
      <c r="G447" s="61" t="s">
        <v>23</v>
      </c>
      <c r="H447" s="5" t="s">
        <v>37</v>
      </c>
      <c r="I447" s="5" t="s">
        <v>47</v>
      </c>
      <c r="J447" s="5" t="s">
        <v>313</v>
      </c>
      <c r="K447" s="4">
        <v>2</v>
      </c>
      <c r="L447" s="38">
        <v>248.34</v>
      </c>
      <c r="M447" s="6">
        <v>15</v>
      </c>
      <c r="N447" s="38">
        <v>496.68</v>
      </c>
      <c r="O447" s="38">
        <v>74.5</v>
      </c>
      <c r="P447" s="54">
        <v>422.18</v>
      </c>
      <c r="Q447" s="38">
        <v>272.56</v>
      </c>
      <c r="R447" s="38">
        <v>149.62</v>
      </c>
      <c r="S447" s="6">
        <v>35.4</v>
      </c>
      <c r="T447" s="4" t="s">
        <v>44</v>
      </c>
      <c r="U447" s="16">
        <v>2</v>
      </c>
    </row>
    <row r="448" spans="1:21" x14ac:dyDescent="0.3">
      <c r="A448" s="13" t="s">
        <v>735</v>
      </c>
      <c r="B448" s="45">
        <v>45449</v>
      </c>
      <c r="C448" s="1" t="s">
        <v>713</v>
      </c>
      <c r="D448" s="41" t="s">
        <v>1374</v>
      </c>
      <c r="E448" s="1">
        <v>2024</v>
      </c>
      <c r="F448" s="1" t="s">
        <v>41</v>
      </c>
      <c r="G448" s="60" t="s">
        <v>58</v>
      </c>
      <c r="H448" s="2" t="s">
        <v>50</v>
      </c>
      <c r="I448" s="2" t="s">
        <v>55</v>
      </c>
      <c r="J448" s="2" t="s">
        <v>302</v>
      </c>
      <c r="K448" s="1">
        <v>13</v>
      </c>
      <c r="L448" s="37">
        <v>798.12</v>
      </c>
      <c r="M448" s="3">
        <v>0</v>
      </c>
      <c r="N448" s="37">
        <v>10375.56</v>
      </c>
      <c r="O448" s="37">
        <v>0</v>
      </c>
      <c r="P448" s="53">
        <v>10375.56</v>
      </c>
      <c r="Q448" s="37">
        <v>6423.51</v>
      </c>
      <c r="R448" s="37">
        <v>3952.05</v>
      </c>
      <c r="S448" s="3">
        <v>38.1</v>
      </c>
      <c r="T448" s="1" t="s">
        <v>33</v>
      </c>
      <c r="U448" s="15">
        <v>4</v>
      </c>
    </row>
    <row r="449" spans="1:21" x14ac:dyDescent="0.3">
      <c r="A449" s="14" t="s">
        <v>736</v>
      </c>
      <c r="B449" s="46">
        <v>45450</v>
      </c>
      <c r="C449" s="4" t="s">
        <v>713</v>
      </c>
      <c r="D449" s="42" t="s">
        <v>1374</v>
      </c>
      <c r="E449" s="4">
        <v>2024</v>
      </c>
      <c r="F449" s="4" t="s">
        <v>22</v>
      </c>
      <c r="G449" s="61" t="s">
        <v>36</v>
      </c>
      <c r="H449" s="5" t="s">
        <v>50</v>
      </c>
      <c r="I449" s="5" t="s">
        <v>75</v>
      </c>
      <c r="J449" s="5" t="s">
        <v>330</v>
      </c>
      <c r="K449" s="4">
        <v>3</v>
      </c>
      <c r="L449" s="38">
        <v>308.47000000000003</v>
      </c>
      <c r="M449" s="6">
        <v>5</v>
      </c>
      <c r="N449" s="38">
        <v>925.41</v>
      </c>
      <c r="O449" s="38">
        <v>46.27</v>
      </c>
      <c r="P449" s="54">
        <v>879.14</v>
      </c>
      <c r="Q449" s="38">
        <v>536.83000000000004</v>
      </c>
      <c r="R449" s="38">
        <v>342.31</v>
      </c>
      <c r="S449" s="6">
        <v>38.9</v>
      </c>
      <c r="T449" s="4" t="s">
        <v>44</v>
      </c>
      <c r="U449" s="16">
        <v>2</v>
      </c>
    </row>
    <row r="450" spans="1:21" x14ac:dyDescent="0.3">
      <c r="A450" s="13" t="s">
        <v>737</v>
      </c>
      <c r="B450" s="45">
        <v>45450</v>
      </c>
      <c r="C450" s="1" t="s">
        <v>713</v>
      </c>
      <c r="D450" s="41" t="s">
        <v>1374</v>
      </c>
      <c r="E450" s="1">
        <v>2024</v>
      </c>
      <c r="F450" s="1" t="s">
        <v>22</v>
      </c>
      <c r="G450" s="60" t="s">
        <v>46</v>
      </c>
      <c r="H450" s="2" t="s">
        <v>50</v>
      </c>
      <c r="I450" s="2" t="s">
        <v>47</v>
      </c>
      <c r="J450" s="2" t="s">
        <v>276</v>
      </c>
      <c r="K450" s="1">
        <v>15</v>
      </c>
      <c r="L450" s="37">
        <v>157.88</v>
      </c>
      <c r="M450" s="3">
        <v>15</v>
      </c>
      <c r="N450" s="37">
        <v>2368.1999999999998</v>
      </c>
      <c r="O450" s="37">
        <v>355.23</v>
      </c>
      <c r="P450" s="53">
        <v>2012.97</v>
      </c>
      <c r="Q450" s="37">
        <v>1000.93</v>
      </c>
      <c r="R450" s="37">
        <v>1012.04</v>
      </c>
      <c r="S450" s="3">
        <v>50.3</v>
      </c>
      <c r="T450" s="1" t="s">
        <v>44</v>
      </c>
      <c r="U450" s="15">
        <v>4</v>
      </c>
    </row>
    <row r="451" spans="1:21" x14ac:dyDescent="0.3">
      <c r="A451" s="14" t="s">
        <v>738</v>
      </c>
      <c r="B451" s="46">
        <v>45451</v>
      </c>
      <c r="C451" s="4" t="s">
        <v>713</v>
      </c>
      <c r="D451" s="42" t="s">
        <v>1374</v>
      </c>
      <c r="E451" s="4">
        <v>2024</v>
      </c>
      <c r="F451" s="4" t="s">
        <v>29</v>
      </c>
      <c r="G451" s="61" t="s">
        <v>122</v>
      </c>
      <c r="H451" s="5" t="s">
        <v>59</v>
      </c>
      <c r="I451" s="5" t="s">
        <v>31</v>
      </c>
      <c r="J451" s="5" t="s">
        <v>706</v>
      </c>
      <c r="K451" s="4">
        <v>10</v>
      </c>
      <c r="L451" s="38">
        <v>67.8</v>
      </c>
      <c r="M451" s="6">
        <v>0</v>
      </c>
      <c r="N451" s="38">
        <v>678</v>
      </c>
      <c r="O451" s="38">
        <v>0</v>
      </c>
      <c r="P451" s="54">
        <v>678</v>
      </c>
      <c r="Q451" s="38">
        <v>437.53</v>
      </c>
      <c r="R451" s="38">
        <v>240.47</v>
      </c>
      <c r="S451" s="6">
        <v>35.5</v>
      </c>
      <c r="T451" s="4" t="s">
        <v>33</v>
      </c>
      <c r="U451" s="16">
        <v>3</v>
      </c>
    </row>
    <row r="452" spans="1:21" x14ac:dyDescent="0.3">
      <c r="A452" s="13" t="s">
        <v>739</v>
      </c>
      <c r="B452" s="45">
        <v>45451</v>
      </c>
      <c r="C452" s="1" t="s">
        <v>713</v>
      </c>
      <c r="D452" s="41" t="s">
        <v>1374</v>
      </c>
      <c r="E452" s="1">
        <v>2024</v>
      </c>
      <c r="F452" s="1" t="s">
        <v>22</v>
      </c>
      <c r="G452" s="60" t="s">
        <v>30</v>
      </c>
      <c r="H452" s="2" t="s">
        <v>50</v>
      </c>
      <c r="I452" s="2" t="s">
        <v>55</v>
      </c>
      <c r="J452" s="2" t="s">
        <v>438</v>
      </c>
      <c r="K452" s="1">
        <v>10</v>
      </c>
      <c r="L452" s="37">
        <v>118.04</v>
      </c>
      <c r="M452" s="3">
        <v>0</v>
      </c>
      <c r="N452" s="37">
        <v>1180.4000000000001</v>
      </c>
      <c r="O452" s="37">
        <v>0</v>
      </c>
      <c r="P452" s="53">
        <v>1180.4000000000001</v>
      </c>
      <c r="Q452" s="37">
        <v>737.52</v>
      </c>
      <c r="R452" s="37">
        <v>442.88</v>
      </c>
      <c r="S452" s="3">
        <v>37.5</v>
      </c>
      <c r="T452" s="1" t="s">
        <v>33</v>
      </c>
      <c r="U452" s="15">
        <v>1</v>
      </c>
    </row>
    <row r="453" spans="1:21" x14ac:dyDescent="0.3">
      <c r="A453" s="14" t="s">
        <v>740</v>
      </c>
      <c r="B453" s="46">
        <v>45451</v>
      </c>
      <c r="C453" s="4" t="s">
        <v>713</v>
      </c>
      <c r="D453" s="42" t="s">
        <v>1374</v>
      </c>
      <c r="E453" s="4">
        <v>2024</v>
      </c>
      <c r="F453" s="4" t="s">
        <v>41</v>
      </c>
      <c r="G453" s="61" t="s">
        <v>122</v>
      </c>
      <c r="H453" s="5" t="s">
        <v>37</v>
      </c>
      <c r="I453" s="5" t="s">
        <v>75</v>
      </c>
      <c r="J453" s="5" t="s">
        <v>741</v>
      </c>
      <c r="K453" s="4">
        <v>11</v>
      </c>
      <c r="L453" s="38">
        <v>313.27</v>
      </c>
      <c r="M453" s="6">
        <v>20</v>
      </c>
      <c r="N453" s="38">
        <v>3445.97</v>
      </c>
      <c r="O453" s="38">
        <v>689.19</v>
      </c>
      <c r="P453" s="54">
        <v>2756.78</v>
      </c>
      <c r="Q453" s="38">
        <v>1196.6600000000001</v>
      </c>
      <c r="R453" s="38">
        <v>1560.12</v>
      </c>
      <c r="S453" s="6">
        <v>56.6</v>
      </c>
      <c r="T453" s="4" t="s">
        <v>44</v>
      </c>
      <c r="U453" s="16">
        <v>4</v>
      </c>
    </row>
    <row r="454" spans="1:21" x14ac:dyDescent="0.3">
      <c r="A454" s="13" t="s">
        <v>742</v>
      </c>
      <c r="B454" s="45">
        <v>45452</v>
      </c>
      <c r="C454" s="1" t="s">
        <v>713</v>
      </c>
      <c r="D454" s="41" t="s">
        <v>1374</v>
      </c>
      <c r="E454" s="1">
        <v>2024</v>
      </c>
      <c r="F454" s="1" t="s">
        <v>22</v>
      </c>
      <c r="G454" s="60" t="s">
        <v>66</v>
      </c>
      <c r="H454" s="2" t="s">
        <v>37</v>
      </c>
      <c r="I454" s="2" t="s">
        <v>55</v>
      </c>
      <c r="J454" s="2" t="s">
        <v>302</v>
      </c>
      <c r="K454" s="1">
        <v>3</v>
      </c>
      <c r="L454" s="37">
        <v>800.14</v>
      </c>
      <c r="M454" s="3">
        <v>20</v>
      </c>
      <c r="N454" s="37">
        <v>2400.42</v>
      </c>
      <c r="O454" s="37">
        <v>480.08</v>
      </c>
      <c r="P454" s="53">
        <v>1920.34</v>
      </c>
      <c r="Q454" s="37">
        <v>800.07</v>
      </c>
      <c r="R454" s="37">
        <v>1120.27</v>
      </c>
      <c r="S454" s="3">
        <v>58.3</v>
      </c>
      <c r="T454" s="1" t="s">
        <v>27</v>
      </c>
      <c r="U454" s="15">
        <v>3</v>
      </c>
    </row>
    <row r="455" spans="1:21" x14ac:dyDescent="0.3">
      <c r="A455" s="14" t="s">
        <v>743</v>
      </c>
      <c r="B455" s="46">
        <v>45452</v>
      </c>
      <c r="C455" s="4" t="s">
        <v>713</v>
      </c>
      <c r="D455" s="42" t="s">
        <v>1374</v>
      </c>
      <c r="E455" s="4">
        <v>2024</v>
      </c>
      <c r="F455" s="4" t="s">
        <v>29</v>
      </c>
      <c r="G455" s="61" t="s">
        <v>58</v>
      </c>
      <c r="H455" s="5" t="s">
        <v>24</v>
      </c>
      <c r="I455" s="5" t="s">
        <v>38</v>
      </c>
      <c r="J455" s="5" t="s">
        <v>320</v>
      </c>
      <c r="K455" s="4">
        <v>18</v>
      </c>
      <c r="L455" s="38">
        <v>22.42</v>
      </c>
      <c r="M455" s="6">
        <v>0</v>
      </c>
      <c r="N455" s="38">
        <v>403.56</v>
      </c>
      <c r="O455" s="38">
        <v>0</v>
      </c>
      <c r="P455" s="54">
        <v>403.56</v>
      </c>
      <c r="Q455" s="38">
        <v>211.06</v>
      </c>
      <c r="R455" s="38">
        <v>192.5</v>
      </c>
      <c r="S455" s="6">
        <v>47.7</v>
      </c>
      <c r="T455" s="4" t="s">
        <v>44</v>
      </c>
      <c r="U455" s="16">
        <v>5</v>
      </c>
    </row>
    <row r="456" spans="1:21" x14ac:dyDescent="0.3">
      <c r="A456" s="13" t="s">
        <v>744</v>
      </c>
      <c r="B456" s="45">
        <v>45452</v>
      </c>
      <c r="C456" s="1" t="s">
        <v>713</v>
      </c>
      <c r="D456" s="41" t="s">
        <v>1374</v>
      </c>
      <c r="E456" s="1">
        <v>2024</v>
      </c>
      <c r="F456" s="1" t="s">
        <v>35</v>
      </c>
      <c r="G456" s="60" t="s">
        <v>36</v>
      </c>
      <c r="H456" s="2" t="s">
        <v>50</v>
      </c>
      <c r="I456" s="2" t="s">
        <v>31</v>
      </c>
      <c r="J456" s="2" t="s">
        <v>135</v>
      </c>
      <c r="K456" s="1">
        <v>15</v>
      </c>
      <c r="L456" s="37">
        <v>151.66</v>
      </c>
      <c r="M456" s="3">
        <v>0</v>
      </c>
      <c r="N456" s="37">
        <v>2274.9</v>
      </c>
      <c r="O456" s="37">
        <v>0</v>
      </c>
      <c r="P456" s="53">
        <v>2274.9</v>
      </c>
      <c r="Q456" s="37">
        <v>833.17</v>
      </c>
      <c r="R456" s="37">
        <v>1441.73</v>
      </c>
      <c r="S456" s="3">
        <v>63.4</v>
      </c>
      <c r="T456" s="1" t="s">
        <v>44</v>
      </c>
      <c r="U456" s="15">
        <v>1</v>
      </c>
    </row>
    <row r="457" spans="1:21" x14ac:dyDescent="0.3">
      <c r="A457" s="14" t="s">
        <v>745</v>
      </c>
      <c r="B457" s="46">
        <v>45452</v>
      </c>
      <c r="C457" s="4" t="s">
        <v>713</v>
      </c>
      <c r="D457" s="42" t="s">
        <v>1374</v>
      </c>
      <c r="E457" s="4">
        <v>2024</v>
      </c>
      <c r="F457" s="4" t="s">
        <v>22</v>
      </c>
      <c r="G457" s="61" t="s">
        <v>58</v>
      </c>
      <c r="H457" s="5" t="s">
        <v>59</v>
      </c>
      <c r="I457" s="5" t="s">
        <v>38</v>
      </c>
      <c r="J457" s="5" t="s">
        <v>364</v>
      </c>
      <c r="K457" s="4">
        <v>1</v>
      </c>
      <c r="L457" s="38">
        <v>68.77</v>
      </c>
      <c r="M457" s="6">
        <v>20</v>
      </c>
      <c r="N457" s="38">
        <v>68.77</v>
      </c>
      <c r="O457" s="38">
        <v>13.75</v>
      </c>
      <c r="P457" s="54">
        <v>55.02</v>
      </c>
      <c r="Q457" s="38">
        <v>32.450000000000003</v>
      </c>
      <c r="R457" s="38">
        <v>22.57</v>
      </c>
      <c r="S457" s="6">
        <v>41</v>
      </c>
      <c r="T457" s="4" t="s">
        <v>44</v>
      </c>
      <c r="U457" s="16">
        <v>4</v>
      </c>
    </row>
    <row r="458" spans="1:21" x14ac:dyDescent="0.3">
      <c r="A458" s="13" t="s">
        <v>746</v>
      </c>
      <c r="B458" s="45">
        <v>45453</v>
      </c>
      <c r="C458" s="1" t="s">
        <v>713</v>
      </c>
      <c r="D458" s="41" t="s">
        <v>1374</v>
      </c>
      <c r="E458" s="1">
        <v>2024</v>
      </c>
      <c r="F458" s="1" t="s">
        <v>22</v>
      </c>
      <c r="G458" s="60" t="s">
        <v>42</v>
      </c>
      <c r="H458" s="2" t="s">
        <v>24</v>
      </c>
      <c r="I458" s="2" t="s">
        <v>38</v>
      </c>
      <c r="J458" s="2" t="s">
        <v>747</v>
      </c>
      <c r="K458" s="1">
        <v>12</v>
      </c>
      <c r="L458" s="37">
        <v>7.8</v>
      </c>
      <c r="M458" s="3">
        <v>0</v>
      </c>
      <c r="N458" s="37">
        <v>93.6</v>
      </c>
      <c r="O458" s="37">
        <v>0</v>
      </c>
      <c r="P458" s="53">
        <v>93.6</v>
      </c>
      <c r="Q458" s="37">
        <v>46.19</v>
      </c>
      <c r="R458" s="37">
        <v>47.41</v>
      </c>
      <c r="S458" s="3">
        <v>50.7</v>
      </c>
      <c r="T458" s="1" t="s">
        <v>44</v>
      </c>
      <c r="U458" s="15">
        <v>2</v>
      </c>
    </row>
    <row r="459" spans="1:21" x14ac:dyDescent="0.3">
      <c r="A459" s="14" t="s">
        <v>748</v>
      </c>
      <c r="B459" s="46">
        <v>45453</v>
      </c>
      <c r="C459" s="4" t="s">
        <v>713</v>
      </c>
      <c r="D459" s="42" t="s">
        <v>1374</v>
      </c>
      <c r="E459" s="4">
        <v>2024</v>
      </c>
      <c r="F459" s="4" t="s">
        <v>41</v>
      </c>
      <c r="G459" s="61" t="s">
        <v>36</v>
      </c>
      <c r="H459" s="5" t="s">
        <v>59</v>
      </c>
      <c r="I459" s="5" t="s">
        <v>25</v>
      </c>
      <c r="J459" s="5" t="s">
        <v>749</v>
      </c>
      <c r="K459" s="4">
        <v>7</v>
      </c>
      <c r="L459" s="38">
        <v>139.01</v>
      </c>
      <c r="M459" s="6">
        <v>15</v>
      </c>
      <c r="N459" s="38">
        <v>973.07</v>
      </c>
      <c r="O459" s="38">
        <v>145.96</v>
      </c>
      <c r="P459" s="54">
        <v>827.11</v>
      </c>
      <c r="Q459" s="38">
        <v>423.67</v>
      </c>
      <c r="R459" s="38">
        <v>403.44</v>
      </c>
      <c r="S459" s="6">
        <v>48.8</v>
      </c>
      <c r="T459" s="4" t="s">
        <v>27</v>
      </c>
      <c r="U459" s="16">
        <v>4</v>
      </c>
    </row>
    <row r="460" spans="1:21" x14ac:dyDescent="0.3">
      <c r="A460" s="13" t="s">
        <v>750</v>
      </c>
      <c r="B460" s="45">
        <v>45453</v>
      </c>
      <c r="C460" s="1" t="s">
        <v>713</v>
      </c>
      <c r="D460" s="41" t="s">
        <v>1374</v>
      </c>
      <c r="E460" s="1">
        <v>2024</v>
      </c>
      <c r="F460" s="1" t="s">
        <v>29</v>
      </c>
      <c r="G460" s="60" t="s">
        <v>91</v>
      </c>
      <c r="H460" s="2" t="s">
        <v>59</v>
      </c>
      <c r="I460" s="2" t="s">
        <v>55</v>
      </c>
      <c r="J460" s="2" t="s">
        <v>637</v>
      </c>
      <c r="K460" s="1">
        <v>10</v>
      </c>
      <c r="L460" s="37">
        <v>530.57000000000005</v>
      </c>
      <c r="M460" s="3">
        <v>15</v>
      </c>
      <c r="N460" s="37">
        <v>5305.7</v>
      </c>
      <c r="O460" s="37">
        <v>795.85</v>
      </c>
      <c r="P460" s="53">
        <v>4509.8500000000004</v>
      </c>
      <c r="Q460" s="37">
        <v>2258.27</v>
      </c>
      <c r="R460" s="37">
        <v>2251.58</v>
      </c>
      <c r="S460" s="3">
        <v>49.9</v>
      </c>
      <c r="T460" s="1" t="s">
        <v>44</v>
      </c>
      <c r="U460" s="15">
        <v>5</v>
      </c>
    </row>
    <row r="461" spans="1:21" x14ac:dyDescent="0.3">
      <c r="A461" s="14" t="s">
        <v>751</v>
      </c>
      <c r="B461" s="46">
        <v>45453</v>
      </c>
      <c r="C461" s="4" t="s">
        <v>713</v>
      </c>
      <c r="D461" s="42" t="s">
        <v>1374</v>
      </c>
      <c r="E461" s="4">
        <v>2024</v>
      </c>
      <c r="F461" s="4" t="s">
        <v>22</v>
      </c>
      <c r="G461" s="61" t="s">
        <v>36</v>
      </c>
      <c r="H461" s="5" t="s">
        <v>50</v>
      </c>
      <c r="I461" s="5" t="s">
        <v>55</v>
      </c>
      <c r="J461" s="5" t="s">
        <v>202</v>
      </c>
      <c r="K461" s="4">
        <v>19</v>
      </c>
      <c r="L461" s="38">
        <v>1013.25</v>
      </c>
      <c r="M461" s="6">
        <v>0</v>
      </c>
      <c r="N461" s="38">
        <v>19251.75</v>
      </c>
      <c r="O461" s="38">
        <v>0</v>
      </c>
      <c r="P461" s="54">
        <v>19251.75</v>
      </c>
      <c r="Q461" s="38">
        <v>9012.0300000000007</v>
      </c>
      <c r="R461" s="38">
        <v>10239.719999999999</v>
      </c>
      <c r="S461" s="6">
        <v>53.2</v>
      </c>
      <c r="T461" s="4" t="s">
        <v>27</v>
      </c>
      <c r="U461" s="16">
        <v>1</v>
      </c>
    </row>
    <row r="462" spans="1:21" x14ac:dyDescent="0.3">
      <c r="A462" s="13" t="s">
        <v>752</v>
      </c>
      <c r="B462" s="45">
        <v>45453</v>
      </c>
      <c r="C462" s="1" t="s">
        <v>713</v>
      </c>
      <c r="D462" s="41" t="s">
        <v>1374</v>
      </c>
      <c r="E462" s="1">
        <v>2024</v>
      </c>
      <c r="F462" s="1" t="s">
        <v>41</v>
      </c>
      <c r="G462" s="60" t="s">
        <v>66</v>
      </c>
      <c r="H462" s="2" t="s">
        <v>50</v>
      </c>
      <c r="I462" s="2" t="s">
        <v>47</v>
      </c>
      <c r="J462" s="2" t="s">
        <v>89</v>
      </c>
      <c r="K462" s="1">
        <v>10</v>
      </c>
      <c r="L462" s="37">
        <v>468.28</v>
      </c>
      <c r="M462" s="3">
        <v>0</v>
      </c>
      <c r="N462" s="37">
        <v>4682.8</v>
      </c>
      <c r="O462" s="37">
        <v>0</v>
      </c>
      <c r="P462" s="53">
        <v>4682.8</v>
      </c>
      <c r="Q462" s="37">
        <v>2603.1799999999998</v>
      </c>
      <c r="R462" s="37">
        <v>2079.62</v>
      </c>
      <c r="S462" s="3">
        <v>44.4</v>
      </c>
      <c r="T462" s="1" t="s">
        <v>33</v>
      </c>
      <c r="U462" s="15">
        <v>1</v>
      </c>
    </row>
    <row r="463" spans="1:21" x14ac:dyDescent="0.3">
      <c r="A463" s="14" t="s">
        <v>753</v>
      </c>
      <c r="B463" s="46">
        <v>45454</v>
      </c>
      <c r="C463" s="4" t="s">
        <v>713</v>
      </c>
      <c r="D463" s="42" t="s">
        <v>1374</v>
      </c>
      <c r="E463" s="4">
        <v>2024</v>
      </c>
      <c r="F463" s="4" t="s">
        <v>29</v>
      </c>
      <c r="G463" s="61" t="s">
        <v>30</v>
      </c>
      <c r="H463" s="5" t="s">
        <v>50</v>
      </c>
      <c r="I463" s="5" t="s">
        <v>31</v>
      </c>
      <c r="J463" s="5" t="s">
        <v>118</v>
      </c>
      <c r="K463" s="4">
        <v>20</v>
      </c>
      <c r="L463" s="38">
        <v>21.72</v>
      </c>
      <c r="M463" s="6">
        <v>0</v>
      </c>
      <c r="N463" s="38">
        <v>434.4</v>
      </c>
      <c r="O463" s="38">
        <v>0</v>
      </c>
      <c r="P463" s="54">
        <v>434.4</v>
      </c>
      <c r="Q463" s="38">
        <v>174.82</v>
      </c>
      <c r="R463" s="38">
        <v>259.58</v>
      </c>
      <c r="S463" s="6">
        <v>59.8</v>
      </c>
      <c r="T463" s="4" t="s">
        <v>44</v>
      </c>
      <c r="U463" s="16">
        <v>2</v>
      </c>
    </row>
    <row r="464" spans="1:21" x14ac:dyDescent="0.3">
      <c r="A464" s="13" t="s">
        <v>754</v>
      </c>
      <c r="B464" s="45">
        <v>45455</v>
      </c>
      <c r="C464" s="1" t="s">
        <v>713</v>
      </c>
      <c r="D464" s="41" t="s">
        <v>1374</v>
      </c>
      <c r="E464" s="1">
        <v>2024</v>
      </c>
      <c r="F464" s="1" t="s">
        <v>53</v>
      </c>
      <c r="G464" s="60" t="s">
        <v>42</v>
      </c>
      <c r="H464" s="2" t="s">
        <v>24</v>
      </c>
      <c r="I464" s="2" t="s">
        <v>31</v>
      </c>
      <c r="J464" s="2" t="s">
        <v>135</v>
      </c>
      <c r="K464" s="1">
        <v>8</v>
      </c>
      <c r="L464" s="37">
        <v>169.7</v>
      </c>
      <c r="M464" s="3">
        <v>5</v>
      </c>
      <c r="N464" s="37">
        <v>1357.6</v>
      </c>
      <c r="O464" s="37">
        <v>67.88</v>
      </c>
      <c r="P464" s="53">
        <v>1289.72</v>
      </c>
      <c r="Q464" s="37">
        <v>829.23</v>
      </c>
      <c r="R464" s="37">
        <v>460.49</v>
      </c>
      <c r="S464" s="3">
        <v>35.700000000000003</v>
      </c>
      <c r="T464" s="1" t="s">
        <v>44</v>
      </c>
      <c r="U464" s="15">
        <v>2</v>
      </c>
    </row>
    <row r="465" spans="1:21" x14ac:dyDescent="0.3">
      <c r="A465" s="14" t="s">
        <v>755</v>
      </c>
      <c r="B465" s="46">
        <v>45456</v>
      </c>
      <c r="C465" s="4" t="s">
        <v>713</v>
      </c>
      <c r="D465" s="42" t="s">
        <v>1374</v>
      </c>
      <c r="E465" s="4">
        <v>2024</v>
      </c>
      <c r="F465" s="4" t="s">
        <v>29</v>
      </c>
      <c r="G465" s="61" t="s">
        <v>46</v>
      </c>
      <c r="H465" s="5" t="s">
        <v>59</v>
      </c>
      <c r="I465" s="5" t="s">
        <v>25</v>
      </c>
      <c r="J465" s="5" t="s">
        <v>376</v>
      </c>
      <c r="K465" s="4">
        <v>15</v>
      </c>
      <c r="L465" s="38">
        <v>120.31</v>
      </c>
      <c r="M465" s="6">
        <v>10</v>
      </c>
      <c r="N465" s="38">
        <v>1804.65</v>
      </c>
      <c r="O465" s="38">
        <v>180.47</v>
      </c>
      <c r="P465" s="54">
        <v>1624.18</v>
      </c>
      <c r="Q465" s="38">
        <v>908.69</v>
      </c>
      <c r="R465" s="38">
        <v>715.49</v>
      </c>
      <c r="S465" s="6">
        <v>44.1</v>
      </c>
      <c r="T465" s="4" t="s">
        <v>44</v>
      </c>
      <c r="U465" s="16">
        <v>4</v>
      </c>
    </row>
    <row r="466" spans="1:21" x14ac:dyDescent="0.3">
      <c r="A466" s="13" t="s">
        <v>756</v>
      </c>
      <c r="B466" s="45">
        <v>45457</v>
      </c>
      <c r="C466" s="1" t="s">
        <v>713</v>
      </c>
      <c r="D466" s="41" t="s">
        <v>1374</v>
      </c>
      <c r="E466" s="1">
        <v>2024</v>
      </c>
      <c r="F466" s="1" t="s">
        <v>53</v>
      </c>
      <c r="G466" s="60" t="s">
        <v>30</v>
      </c>
      <c r="H466" s="2" t="s">
        <v>50</v>
      </c>
      <c r="I466" s="2" t="s">
        <v>31</v>
      </c>
      <c r="J466" s="2" t="s">
        <v>32</v>
      </c>
      <c r="K466" s="1">
        <v>12</v>
      </c>
      <c r="L466" s="37">
        <v>49.47</v>
      </c>
      <c r="M466" s="3">
        <v>0</v>
      </c>
      <c r="N466" s="37">
        <v>593.64</v>
      </c>
      <c r="O466" s="37">
        <v>0</v>
      </c>
      <c r="P466" s="53">
        <v>593.64</v>
      </c>
      <c r="Q466" s="37">
        <v>289.70999999999998</v>
      </c>
      <c r="R466" s="37">
        <v>303.93</v>
      </c>
      <c r="S466" s="3">
        <v>51.2</v>
      </c>
      <c r="T466" s="1" t="s">
        <v>44</v>
      </c>
      <c r="U466" s="15">
        <v>5</v>
      </c>
    </row>
    <row r="467" spans="1:21" x14ac:dyDescent="0.3">
      <c r="A467" s="14" t="s">
        <v>757</v>
      </c>
      <c r="B467" s="46">
        <v>45457</v>
      </c>
      <c r="C467" s="4" t="s">
        <v>713</v>
      </c>
      <c r="D467" s="42" t="s">
        <v>1374</v>
      </c>
      <c r="E467" s="4">
        <v>2024</v>
      </c>
      <c r="F467" s="4" t="s">
        <v>53</v>
      </c>
      <c r="G467" s="61" t="s">
        <v>42</v>
      </c>
      <c r="H467" s="5" t="s">
        <v>50</v>
      </c>
      <c r="I467" s="5" t="s">
        <v>55</v>
      </c>
      <c r="J467" s="5" t="s">
        <v>381</v>
      </c>
      <c r="K467" s="4">
        <v>19</v>
      </c>
      <c r="L467" s="38">
        <v>911.35</v>
      </c>
      <c r="M467" s="6">
        <v>15</v>
      </c>
      <c r="N467" s="38">
        <v>17315.650000000001</v>
      </c>
      <c r="O467" s="38">
        <v>2597.35</v>
      </c>
      <c r="P467" s="54">
        <v>14718.3</v>
      </c>
      <c r="Q467" s="38">
        <v>8194.61</v>
      </c>
      <c r="R467" s="38">
        <v>6523.69</v>
      </c>
      <c r="S467" s="6">
        <v>44.3</v>
      </c>
      <c r="T467" s="4" t="s">
        <v>44</v>
      </c>
      <c r="U467" s="16">
        <v>2</v>
      </c>
    </row>
    <row r="468" spans="1:21" x14ac:dyDescent="0.3">
      <c r="A468" s="13" t="s">
        <v>758</v>
      </c>
      <c r="B468" s="45">
        <v>45458</v>
      </c>
      <c r="C468" s="1" t="s">
        <v>713</v>
      </c>
      <c r="D468" s="41" t="s">
        <v>1374</v>
      </c>
      <c r="E468" s="1">
        <v>2024</v>
      </c>
      <c r="F468" s="1" t="s">
        <v>29</v>
      </c>
      <c r="G468" s="60" t="s">
        <v>23</v>
      </c>
      <c r="H468" s="2" t="s">
        <v>50</v>
      </c>
      <c r="I468" s="2" t="s">
        <v>25</v>
      </c>
      <c r="J468" s="2" t="s">
        <v>387</v>
      </c>
      <c r="K468" s="1">
        <v>16</v>
      </c>
      <c r="L468" s="37">
        <v>132.12</v>
      </c>
      <c r="M468" s="3">
        <v>0</v>
      </c>
      <c r="N468" s="37">
        <v>2113.92</v>
      </c>
      <c r="O468" s="37">
        <v>0</v>
      </c>
      <c r="P468" s="53">
        <v>2113.92</v>
      </c>
      <c r="Q468" s="37">
        <v>747.37</v>
      </c>
      <c r="R468" s="37">
        <v>1366.55</v>
      </c>
      <c r="S468" s="3">
        <v>64.599999999999994</v>
      </c>
      <c r="T468" s="1" t="s">
        <v>44</v>
      </c>
      <c r="U468" s="15">
        <v>5</v>
      </c>
    </row>
    <row r="469" spans="1:21" x14ac:dyDescent="0.3">
      <c r="A469" s="14" t="s">
        <v>759</v>
      </c>
      <c r="B469" s="46">
        <v>45458</v>
      </c>
      <c r="C469" s="4" t="s">
        <v>713</v>
      </c>
      <c r="D469" s="42" t="s">
        <v>1374</v>
      </c>
      <c r="E469" s="4">
        <v>2024</v>
      </c>
      <c r="F469" s="4" t="s">
        <v>29</v>
      </c>
      <c r="G469" s="61" t="s">
        <v>36</v>
      </c>
      <c r="H469" s="5" t="s">
        <v>50</v>
      </c>
      <c r="I469" s="5" t="s">
        <v>31</v>
      </c>
      <c r="J469" s="5" t="s">
        <v>760</v>
      </c>
      <c r="K469" s="4">
        <v>7</v>
      </c>
      <c r="L469" s="38">
        <v>68.55</v>
      </c>
      <c r="M469" s="6">
        <v>0</v>
      </c>
      <c r="N469" s="38">
        <v>479.85</v>
      </c>
      <c r="O469" s="38">
        <v>0</v>
      </c>
      <c r="P469" s="54">
        <v>479.85</v>
      </c>
      <c r="Q469" s="38">
        <v>198.29</v>
      </c>
      <c r="R469" s="38">
        <v>281.56</v>
      </c>
      <c r="S469" s="6">
        <v>58.7</v>
      </c>
      <c r="T469" s="4" t="s">
        <v>44</v>
      </c>
      <c r="U469" s="16">
        <v>4</v>
      </c>
    </row>
    <row r="470" spans="1:21" x14ac:dyDescent="0.3">
      <c r="A470" s="13" t="s">
        <v>761</v>
      </c>
      <c r="B470" s="45">
        <v>45459</v>
      </c>
      <c r="C470" s="1" t="s">
        <v>713</v>
      </c>
      <c r="D470" s="41" t="s">
        <v>1374</v>
      </c>
      <c r="E470" s="1">
        <v>2024</v>
      </c>
      <c r="F470" s="1" t="s">
        <v>41</v>
      </c>
      <c r="G470" s="60" t="s">
        <v>46</v>
      </c>
      <c r="H470" s="2" t="s">
        <v>37</v>
      </c>
      <c r="I470" s="2" t="s">
        <v>25</v>
      </c>
      <c r="J470" s="2" t="s">
        <v>503</v>
      </c>
      <c r="K470" s="1">
        <v>18</v>
      </c>
      <c r="L470" s="37">
        <v>15.25</v>
      </c>
      <c r="M470" s="3">
        <v>20</v>
      </c>
      <c r="N470" s="37">
        <v>274.5</v>
      </c>
      <c r="O470" s="37">
        <v>54.9</v>
      </c>
      <c r="P470" s="53">
        <v>219.6</v>
      </c>
      <c r="Q470" s="37">
        <v>115.14</v>
      </c>
      <c r="R470" s="37">
        <v>104.46</v>
      </c>
      <c r="S470" s="3">
        <v>47.6</v>
      </c>
      <c r="T470" s="1" t="s">
        <v>44</v>
      </c>
      <c r="U470" s="15">
        <v>2</v>
      </c>
    </row>
    <row r="471" spans="1:21" x14ac:dyDescent="0.3">
      <c r="A471" s="14" t="s">
        <v>762</v>
      </c>
      <c r="B471" s="46">
        <v>45459</v>
      </c>
      <c r="C471" s="4" t="s">
        <v>713</v>
      </c>
      <c r="D471" s="42" t="s">
        <v>1374</v>
      </c>
      <c r="E471" s="4">
        <v>2024</v>
      </c>
      <c r="F471" s="4" t="s">
        <v>29</v>
      </c>
      <c r="G471" s="61" t="s">
        <v>122</v>
      </c>
      <c r="H471" s="5" t="s">
        <v>59</v>
      </c>
      <c r="I471" s="5" t="s">
        <v>31</v>
      </c>
      <c r="J471" s="5" t="s">
        <v>763</v>
      </c>
      <c r="K471" s="4">
        <v>8</v>
      </c>
      <c r="L471" s="38">
        <v>70.2</v>
      </c>
      <c r="M471" s="6">
        <v>0</v>
      </c>
      <c r="N471" s="38">
        <v>561.6</v>
      </c>
      <c r="O471" s="38">
        <v>0</v>
      </c>
      <c r="P471" s="54">
        <v>561.6</v>
      </c>
      <c r="Q471" s="38">
        <v>251.39</v>
      </c>
      <c r="R471" s="38">
        <v>310.20999999999998</v>
      </c>
      <c r="S471" s="6">
        <v>55.2</v>
      </c>
      <c r="T471" s="4" t="s">
        <v>44</v>
      </c>
      <c r="U471" s="16">
        <v>3</v>
      </c>
    </row>
    <row r="472" spans="1:21" x14ac:dyDescent="0.3">
      <c r="A472" s="13" t="s">
        <v>764</v>
      </c>
      <c r="B472" s="45">
        <v>45459</v>
      </c>
      <c r="C472" s="1" t="s">
        <v>713</v>
      </c>
      <c r="D472" s="41" t="s">
        <v>1374</v>
      </c>
      <c r="E472" s="1">
        <v>2024</v>
      </c>
      <c r="F472" s="1" t="s">
        <v>35</v>
      </c>
      <c r="G472" s="60" t="s">
        <v>58</v>
      </c>
      <c r="H472" s="2" t="s">
        <v>59</v>
      </c>
      <c r="I472" s="2" t="s">
        <v>31</v>
      </c>
      <c r="J472" s="2" t="s">
        <v>258</v>
      </c>
      <c r="K472" s="1">
        <v>5</v>
      </c>
      <c r="L472" s="37">
        <v>126.51</v>
      </c>
      <c r="M472" s="3">
        <v>0</v>
      </c>
      <c r="N472" s="37">
        <v>632.54999999999995</v>
      </c>
      <c r="O472" s="37">
        <v>0</v>
      </c>
      <c r="P472" s="53">
        <v>632.54999999999995</v>
      </c>
      <c r="Q472" s="37">
        <v>337.68</v>
      </c>
      <c r="R472" s="37">
        <v>294.87</v>
      </c>
      <c r="S472" s="3">
        <v>46.6</v>
      </c>
      <c r="T472" s="1" t="s">
        <v>44</v>
      </c>
      <c r="U472" s="15">
        <v>2</v>
      </c>
    </row>
    <row r="473" spans="1:21" x14ac:dyDescent="0.3">
      <c r="A473" s="14" t="s">
        <v>765</v>
      </c>
      <c r="B473" s="46">
        <v>45460</v>
      </c>
      <c r="C473" s="4" t="s">
        <v>713</v>
      </c>
      <c r="D473" s="42" t="s">
        <v>1374</v>
      </c>
      <c r="E473" s="4">
        <v>2024</v>
      </c>
      <c r="F473" s="4" t="s">
        <v>22</v>
      </c>
      <c r="G473" s="61" t="s">
        <v>58</v>
      </c>
      <c r="H473" s="5" t="s">
        <v>50</v>
      </c>
      <c r="I473" s="5" t="s">
        <v>47</v>
      </c>
      <c r="J473" s="5" t="s">
        <v>495</v>
      </c>
      <c r="K473" s="4">
        <v>1</v>
      </c>
      <c r="L473" s="38">
        <v>465.66</v>
      </c>
      <c r="M473" s="6">
        <v>0</v>
      </c>
      <c r="N473" s="38">
        <v>465.66</v>
      </c>
      <c r="O473" s="38">
        <v>0</v>
      </c>
      <c r="P473" s="54">
        <v>465.66</v>
      </c>
      <c r="Q473" s="38">
        <v>199.26</v>
      </c>
      <c r="R473" s="38">
        <v>266.39999999999998</v>
      </c>
      <c r="S473" s="6">
        <v>57.2</v>
      </c>
      <c r="T473" s="4" t="s">
        <v>44</v>
      </c>
      <c r="U473" s="16">
        <v>2</v>
      </c>
    </row>
    <row r="474" spans="1:21" x14ac:dyDescent="0.3">
      <c r="A474" s="13" t="s">
        <v>766</v>
      </c>
      <c r="B474" s="45">
        <v>45461</v>
      </c>
      <c r="C474" s="1" t="s">
        <v>713</v>
      </c>
      <c r="D474" s="41" t="s">
        <v>1374</v>
      </c>
      <c r="E474" s="1">
        <v>2024</v>
      </c>
      <c r="F474" s="1" t="s">
        <v>29</v>
      </c>
      <c r="G474" s="60" t="s">
        <v>42</v>
      </c>
      <c r="H474" s="2" t="s">
        <v>24</v>
      </c>
      <c r="I474" s="2" t="s">
        <v>31</v>
      </c>
      <c r="J474" s="2" t="s">
        <v>767</v>
      </c>
      <c r="K474" s="1">
        <v>14</v>
      </c>
      <c r="L474" s="37">
        <v>76.98</v>
      </c>
      <c r="M474" s="3">
        <v>5</v>
      </c>
      <c r="N474" s="37">
        <v>1077.72</v>
      </c>
      <c r="O474" s="37">
        <v>53.89</v>
      </c>
      <c r="P474" s="53">
        <v>1023.83</v>
      </c>
      <c r="Q474" s="37">
        <v>526.83000000000004</v>
      </c>
      <c r="R474" s="37">
        <v>497</v>
      </c>
      <c r="S474" s="3">
        <v>48.5</v>
      </c>
      <c r="T474" s="1" t="s">
        <v>33</v>
      </c>
      <c r="U474" s="15">
        <v>5</v>
      </c>
    </row>
    <row r="475" spans="1:21" x14ac:dyDescent="0.3">
      <c r="A475" s="14" t="s">
        <v>768</v>
      </c>
      <c r="B475" s="46">
        <v>45461</v>
      </c>
      <c r="C475" s="4" t="s">
        <v>713</v>
      </c>
      <c r="D475" s="42" t="s">
        <v>1374</v>
      </c>
      <c r="E475" s="4">
        <v>2024</v>
      </c>
      <c r="F475" s="4" t="s">
        <v>53</v>
      </c>
      <c r="G475" s="61" t="s">
        <v>66</v>
      </c>
      <c r="H475" s="5" t="s">
        <v>59</v>
      </c>
      <c r="I475" s="5" t="s">
        <v>25</v>
      </c>
      <c r="J475" s="5" t="s">
        <v>769</v>
      </c>
      <c r="K475" s="4">
        <v>1</v>
      </c>
      <c r="L475" s="38">
        <v>73.61</v>
      </c>
      <c r="M475" s="6">
        <v>5</v>
      </c>
      <c r="N475" s="38">
        <v>73.61</v>
      </c>
      <c r="O475" s="38">
        <v>3.68</v>
      </c>
      <c r="P475" s="54">
        <v>69.930000000000007</v>
      </c>
      <c r="Q475" s="38">
        <v>29.45</v>
      </c>
      <c r="R475" s="38">
        <v>40.479999999999997</v>
      </c>
      <c r="S475" s="6">
        <v>57.9</v>
      </c>
      <c r="T475" s="4" t="s">
        <v>44</v>
      </c>
      <c r="U475" s="16">
        <v>1</v>
      </c>
    </row>
    <row r="476" spans="1:21" x14ac:dyDescent="0.3">
      <c r="A476" s="13" t="s">
        <v>770</v>
      </c>
      <c r="B476" s="45">
        <v>45461</v>
      </c>
      <c r="C476" s="1" t="s">
        <v>713</v>
      </c>
      <c r="D476" s="41" t="s">
        <v>1374</v>
      </c>
      <c r="E476" s="1">
        <v>2024</v>
      </c>
      <c r="F476" s="1" t="s">
        <v>53</v>
      </c>
      <c r="G476" s="60" t="s">
        <v>122</v>
      </c>
      <c r="H476" s="2" t="s">
        <v>24</v>
      </c>
      <c r="I476" s="2" t="s">
        <v>55</v>
      </c>
      <c r="J476" s="2" t="s">
        <v>771</v>
      </c>
      <c r="K476" s="1">
        <v>8</v>
      </c>
      <c r="L476" s="37">
        <v>787.51</v>
      </c>
      <c r="M476" s="3">
        <v>5</v>
      </c>
      <c r="N476" s="37">
        <v>6300.08</v>
      </c>
      <c r="O476" s="37">
        <v>315</v>
      </c>
      <c r="P476" s="53">
        <v>5985.08</v>
      </c>
      <c r="Q476" s="37">
        <v>2941.09</v>
      </c>
      <c r="R476" s="37">
        <v>3043.99</v>
      </c>
      <c r="S476" s="3">
        <v>50.9</v>
      </c>
      <c r="T476" s="1" t="s">
        <v>33</v>
      </c>
      <c r="U476" s="15">
        <v>3</v>
      </c>
    </row>
    <row r="477" spans="1:21" x14ac:dyDescent="0.3">
      <c r="A477" s="14" t="s">
        <v>772</v>
      </c>
      <c r="B477" s="46">
        <v>45461</v>
      </c>
      <c r="C477" s="4" t="s">
        <v>713</v>
      </c>
      <c r="D477" s="42" t="s">
        <v>1374</v>
      </c>
      <c r="E477" s="4">
        <v>2024</v>
      </c>
      <c r="F477" s="4" t="s">
        <v>29</v>
      </c>
      <c r="G477" s="61" t="s">
        <v>23</v>
      </c>
      <c r="H477" s="5" t="s">
        <v>50</v>
      </c>
      <c r="I477" s="5" t="s">
        <v>47</v>
      </c>
      <c r="J477" s="5" t="s">
        <v>402</v>
      </c>
      <c r="K477" s="4">
        <v>18</v>
      </c>
      <c r="L477" s="38">
        <v>271.67</v>
      </c>
      <c r="M477" s="6">
        <v>0</v>
      </c>
      <c r="N477" s="38">
        <v>4890.0600000000004</v>
      </c>
      <c r="O477" s="38">
        <v>0</v>
      </c>
      <c r="P477" s="54">
        <v>4890.0600000000004</v>
      </c>
      <c r="Q477" s="38">
        <v>2610.9299999999998</v>
      </c>
      <c r="R477" s="38">
        <v>2279.13</v>
      </c>
      <c r="S477" s="6">
        <v>46.6</v>
      </c>
      <c r="T477" s="4" t="s">
        <v>44</v>
      </c>
      <c r="U477" s="16">
        <v>3</v>
      </c>
    </row>
    <row r="478" spans="1:21" x14ac:dyDescent="0.3">
      <c r="A478" s="13" t="s">
        <v>773</v>
      </c>
      <c r="B478" s="45">
        <v>45461</v>
      </c>
      <c r="C478" s="1" t="s">
        <v>713</v>
      </c>
      <c r="D478" s="41" t="s">
        <v>1374</v>
      </c>
      <c r="E478" s="1">
        <v>2024</v>
      </c>
      <c r="F478" s="1" t="s">
        <v>22</v>
      </c>
      <c r="G478" s="60" t="s">
        <v>54</v>
      </c>
      <c r="H478" s="2" t="s">
        <v>50</v>
      </c>
      <c r="I478" s="2" t="s">
        <v>31</v>
      </c>
      <c r="J478" s="2" t="s">
        <v>258</v>
      </c>
      <c r="K478" s="1">
        <v>12</v>
      </c>
      <c r="L478" s="37">
        <v>179.51</v>
      </c>
      <c r="M478" s="3">
        <v>20</v>
      </c>
      <c r="N478" s="37">
        <v>2154.12</v>
      </c>
      <c r="O478" s="37">
        <v>430.82</v>
      </c>
      <c r="P478" s="53">
        <v>1723.3</v>
      </c>
      <c r="Q478" s="37">
        <v>792.33</v>
      </c>
      <c r="R478" s="37">
        <v>930.97</v>
      </c>
      <c r="S478" s="3">
        <v>54</v>
      </c>
      <c r="T478" s="1" t="s">
        <v>44</v>
      </c>
      <c r="U478" s="15">
        <v>1</v>
      </c>
    </row>
    <row r="479" spans="1:21" x14ac:dyDescent="0.3">
      <c r="A479" s="14" t="s">
        <v>774</v>
      </c>
      <c r="B479" s="46">
        <v>45462</v>
      </c>
      <c r="C479" s="4" t="s">
        <v>713</v>
      </c>
      <c r="D479" s="42" t="s">
        <v>1374</v>
      </c>
      <c r="E479" s="4">
        <v>2024</v>
      </c>
      <c r="F479" s="4" t="s">
        <v>22</v>
      </c>
      <c r="G479" s="61" t="s">
        <v>23</v>
      </c>
      <c r="H479" s="5" t="s">
        <v>59</v>
      </c>
      <c r="I479" s="5" t="s">
        <v>31</v>
      </c>
      <c r="J479" s="5" t="s">
        <v>475</v>
      </c>
      <c r="K479" s="4">
        <v>1</v>
      </c>
      <c r="L479" s="38">
        <v>39.83</v>
      </c>
      <c r="M479" s="6">
        <v>5</v>
      </c>
      <c r="N479" s="38">
        <v>39.83</v>
      </c>
      <c r="O479" s="38">
        <v>1.99</v>
      </c>
      <c r="P479" s="54">
        <v>37.840000000000003</v>
      </c>
      <c r="Q479" s="38">
        <v>18.91</v>
      </c>
      <c r="R479" s="38">
        <v>18.93</v>
      </c>
      <c r="S479" s="6">
        <v>50</v>
      </c>
      <c r="T479" s="4" t="s">
        <v>44</v>
      </c>
      <c r="U479" s="16">
        <v>3</v>
      </c>
    </row>
    <row r="480" spans="1:21" x14ac:dyDescent="0.3">
      <c r="A480" s="13" t="s">
        <v>775</v>
      </c>
      <c r="B480" s="45">
        <v>45462</v>
      </c>
      <c r="C480" s="1" t="s">
        <v>713</v>
      </c>
      <c r="D480" s="41" t="s">
        <v>1374</v>
      </c>
      <c r="E480" s="1">
        <v>2024</v>
      </c>
      <c r="F480" s="1" t="s">
        <v>41</v>
      </c>
      <c r="G480" s="60" t="s">
        <v>122</v>
      </c>
      <c r="H480" s="2" t="s">
        <v>50</v>
      </c>
      <c r="I480" s="2" t="s">
        <v>25</v>
      </c>
      <c r="J480" s="2" t="s">
        <v>294</v>
      </c>
      <c r="K480" s="1">
        <v>11</v>
      </c>
      <c r="L480" s="37">
        <v>80.59</v>
      </c>
      <c r="M480" s="3">
        <v>15</v>
      </c>
      <c r="N480" s="37">
        <v>886.49</v>
      </c>
      <c r="O480" s="37">
        <v>132.97</v>
      </c>
      <c r="P480" s="53">
        <v>753.52</v>
      </c>
      <c r="Q480" s="37">
        <v>311.32</v>
      </c>
      <c r="R480" s="37">
        <v>442.2</v>
      </c>
      <c r="S480" s="3">
        <v>58.7</v>
      </c>
      <c r="T480" s="1" t="s">
        <v>27</v>
      </c>
      <c r="U480" s="15">
        <v>3</v>
      </c>
    </row>
    <row r="481" spans="1:21" x14ac:dyDescent="0.3">
      <c r="A481" s="14" t="s">
        <v>776</v>
      </c>
      <c r="B481" s="46">
        <v>45463</v>
      </c>
      <c r="C481" s="4" t="s">
        <v>713</v>
      </c>
      <c r="D481" s="42" t="s">
        <v>1374</v>
      </c>
      <c r="E481" s="4">
        <v>2024</v>
      </c>
      <c r="F481" s="4" t="s">
        <v>41</v>
      </c>
      <c r="G481" s="61" t="s">
        <v>23</v>
      </c>
      <c r="H481" s="5" t="s">
        <v>24</v>
      </c>
      <c r="I481" s="5" t="s">
        <v>47</v>
      </c>
      <c r="J481" s="5" t="s">
        <v>777</v>
      </c>
      <c r="K481" s="4">
        <v>1</v>
      </c>
      <c r="L481" s="38">
        <v>150.96</v>
      </c>
      <c r="M481" s="6">
        <v>20</v>
      </c>
      <c r="N481" s="38">
        <v>150.96</v>
      </c>
      <c r="O481" s="38">
        <v>30.19</v>
      </c>
      <c r="P481" s="54">
        <v>120.77</v>
      </c>
      <c r="Q481" s="38">
        <v>67.66</v>
      </c>
      <c r="R481" s="38">
        <v>53.11</v>
      </c>
      <c r="S481" s="6">
        <v>44</v>
      </c>
      <c r="T481" s="4" t="s">
        <v>44</v>
      </c>
      <c r="U481" s="16">
        <v>5</v>
      </c>
    </row>
    <row r="482" spans="1:21" x14ac:dyDescent="0.3">
      <c r="A482" s="13" t="s">
        <v>778</v>
      </c>
      <c r="B482" s="45">
        <v>45463</v>
      </c>
      <c r="C482" s="1" t="s">
        <v>713</v>
      </c>
      <c r="D482" s="41" t="s">
        <v>1374</v>
      </c>
      <c r="E482" s="1">
        <v>2024</v>
      </c>
      <c r="F482" s="1" t="s">
        <v>41</v>
      </c>
      <c r="G482" s="60" t="s">
        <v>122</v>
      </c>
      <c r="H482" s="2" t="s">
        <v>50</v>
      </c>
      <c r="I482" s="2" t="s">
        <v>31</v>
      </c>
      <c r="J482" s="2" t="s">
        <v>779</v>
      </c>
      <c r="K482" s="1">
        <v>13</v>
      </c>
      <c r="L482" s="37">
        <v>164.63</v>
      </c>
      <c r="M482" s="3">
        <v>5</v>
      </c>
      <c r="N482" s="37">
        <v>2140.19</v>
      </c>
      <c r="O482" s="37">
        <v>107.01</v>
      </c>
      <c r="P482" s="53">
        <v>2033.18</v>
      </c>
      <c r="Q482" s="37">
        <v>938.7</v>
      </c>
      <c r="R482" s="37">
        <v>1094.48</v>
      </c>
      <c r="S482" s="3">
        <v>53.8</v>
      </c>
      <c r="T482" s="1" t="s">
        <v>27</v>
      </c>
      <c r="U482" s="15">
        <v>1</v>
      </c>
    </row>
    <row r="483" spans="1:21" x14ac:dyDescent="0.3">
      <c r="A483" s="14" t="s">
        <v>780</v>
      </c>
      <c r="B483" s="46">
        <v>45464</v>
      </c>
      <c r="C483" s="4" t="s">
        <v>713</v>
      </c>
      <c r="D483" s="42" t="s">
        <v>1374</v>
      </c>
      <c r="E483" s="4">
        <v>2024</v>
      </c>
      <c r="F483" s="4" t="s">
        <v>22</v>
      </c>
      <c r="G483" s="61" t="s">
        <v>66</v>
      </c>
      <c r="H483" s="5" t="s">
        <v>50</v>
      </c>
      <c r="I483" s="5" t="s">
        <v>55</v>
      </c>
      <c r="J483" s="5" t="s">
        <v>372</v>
      </c>
      <c r="K483" s="4">
        <v>10</v>
      </c>
      <c r="L483" s="38">
        <v>430.29</v>
      </c>
      <c r="M483" s="6">
        <v>20</v>
      </c>
      <c r="N483" s="38">
        <v>4302.8999999999996</v>
      </c>
      <c r="O483" s="38">
        <v>860.58</v>
      </c>
      <c r="P483" s="54">
        <v>3442.32</v>
      </c>
      <c r="Q483" s="38">
        <v>2087.0700000000002</v>
      </c>
      <c r="R483" s="38">
        <v>1355.25</v>
      </c>
      <c r="S483" s="6">
        <v>39.4</v>
      </c>
      <c r="T483" s="4" t="s">
        <v>33</v>
      </c>
      <c r="U483" s="16">
        <v>4</v>
      </c>
    </row>
    <row r="484" spans="1:21" x14ac:dyDescent="0.3">
      <c r="A484" s="13" t="s">
        <v>781</v>
      </c>
      <c r="B484" s="45">
        <v>45464</v>
      </c>
      <c r="C484" s="1" t="s">
        <v>713</v>
      </c>
      <c r="D484" s="41" t="s">
        <v>1374</v>
      </c>
      <c r="E484" s="1">
        <v>2024</v>
      </c>
      <c r="F484" s="1" t="s">
        <v>53</v>
      </c>
      <c r="G484" s="60" t="s">
        <v>91</v>
      </c>
      <c r="H484" s="2" t="s">
        <v>59</v>
      </c>
      <c r="I484" s="2" t="s">
        <v>38</v>
      </c>
      <c r="J484" s="2" t="s">
        <v>599</v>
      </c>
      <c r="K484" s="1">
        <v>4</v>
      </c>
      <c r="L484" s="37">
        <v>59.83</v>
      </c>
      <c r="M484" s="3">
        <v>5</v>
      </c>
      <c r="N484" s="37">
        <v>239.32</v>
      </c>
      <c r="O484" s="37">
        <v>11.97</v>
      </c>
      <c r="P484" s="53">
        <v>227.35</v>
      </c>
      <c r="Q484" s="37">
        <v>98.64</v>
      </c>
      <c r="R484" s="37">
        <v>128.71</v>
      </c>
      <c r="S484" s="3">
        <v>56.6</v>
      </c>
      <c r="T484" s="1" t="s">
        <v>44</v>
      </c>
      <c r="U484" s="15">
        <v>4</v>
      </c>
    </row>
    <row r="485" spans="1:21" x14ac:dyDescent="0.3">
      <c r="A485" s="14" t="s">
        <v>782</v>
      </c>
      <c r="B485" s="46">
        <v>45464</v>
      </c>
      <c r="C485" s="4" t="s">
        <v>713</v>
      </c>
      <c r="D485" s="42" t="s">
        <v>1374</v>
      </c>
      <c r="E485" s="4">
        <v>2024</v>
      </c>
      <c r="F485" s="4" t="s">
        <v>41</v>
      </c>
      <c r="G485" s="61" t="s">
        <v>122</v>
      </c>
      <c r="H485" s="5" t="s">
        <v>37</v>
      </c>
      <c r="I485" s="5" t="s">
        <v>55</v>
      </c>
      <c r="J485" s="5" t="s">
        <v>372</v>
      </c>
      <c r="K485" s="4">
        <v>7</v>
      </c>
      <c r="L485" s="38">
        <v>795.53</v>
      </c>
      <c r="M485" s="6">
        <v>15</v>
      </c>
      <c r="N485" s="38">
        <v>5568.71</v>
      </c>
      <c r="O485" s="38">
        <v>835.31</v>
      </c>
      <c r="P485" s="54">
        <v>4733.3999999999996</v>
      </c>
      <c r="Q485" s="38">
        <v>1912.14</v>
      </c>
      <c r="R485" s="38">
        <v>2821.26</v>
      </c>
      <c r="S485" s="6">
        <v>59.6</v>
      </c>
      <c r="T485" s="4" t="s">
        <v>27</v>
      </c>
      <c r="U485" s="16">
        <v>4</v>
      </c>
    </row>
    <row r="486" spans="1:21" x14ac:dyDescent="0.3">
      <c r="A486" s="13" t="s">
        <v>783</v>
      </c>
      <c r="B486" s="45">
        <v>45464</v>
      </c>
      <c r="C486" s="1" t="s">
        <v>713</v>
      </c>
      <c r="D486" s="41" t="s">
        <v>1374</v>
      </c>
      <c r="E486" s="1">
        <v>2024</v>
      </c>
      <c r="F486" s="1" t="s">
        <v>29</v>
      </c>
      <c r="G486" s="60" t="s">
        <v>122</v>
      </c>
      <c r="H486" s="2" t="s">
        <v>24</v>
      </c>
      <c r="I486" s="2" t="s">
        <v>31</v>
      </c>
      <c r="J486" s="2" t="s">
        <v>374</v>
      </c>
      <c r="K486" s="1">
        <v>17</v>
      </c>
      <c r="L486" s="37">
        <v>147.94</v>
      </c>
      <c r="M486" s="3">
        <v>20</v>
      </c>
      <c r="N486" s="37">
        <v>2514.98</v>
      </c>
      <c r="O486" s="37">
        <v>503</v>
      </c>
      <c r="P486" s="53">
        <v>2011.98</v>
      </c>
      <c r="Q486" s="37">
        <v>783.35</v>
      </c>
      <c r="R486" s="37">
        <v>1228.6300000000001</v>
      </c>
      <c r="S486" s="3">
        <v>61.1</v>
      </c>
      <c r="T486" s="1" t="s">
        <v>44</v>
      </c>
      <c r="U486" s="15">
        <v>4</v>
      </c>
    </row>
    <row r="487" spans="1:21" x14ac:dyDescent="0.3">
      <c r="A487" s="14" t="s">
        <v>784</v>
      </c>
      <c r="B487" s="46">
        <v>45465</v>
      </c>
      <c r="C487" s="4" t="s">
        <v>713</v>
      </c>
      <c r="D487" s="42" t="s">
        <v>1374</v>
      </c>
      <c r="E487" s="4">
        <v>2024</v>
      </c>
      <c r="F487" s="4" t="s">
        <v>41</v>
      </c>
      <c r="G487" s="61" t="s">
        <v>91</v>
      </c>
      <c r="H487" s="5" t="s">
        <v>37</v>
      </c>
      <c r="I487" s="5" t="s">
        <v>55</v>
      </c>
      <c r="J487" s="5" t="s">
        <v>223</v>
      </c>
      <c r="K487" s="4">
        <v>8</v>
      </c>
      <c r="L487" s="38">
        <v>66.2</v>
      </c>
      <c r="M487" s="6">
        <v>0</v>
      </c>
      <c r="N487" s="38">
        <v>529.6</v>
      </c>
      <c r="O487" s="38">
        <v>0</v>
      </c>
      <c r="P487" s="54">
        <v>529.6</v>
      </c>
      <c r="Q487" s="38">
        <v>276.86</v>
      </c>
      <c r="R487" s="38">
        <v>252.74</v>
      </c>
      <c r="S487" s="6">
        <v>47.7</v>
      </c>
      <c r="T487" s="4" t="s">
        <v>27</v>
      </c>
      <c r="U487" s="16">
        <v>3</v>
      </c>
    </row>
    <row r="488" spans="1:21" x14ac:dyDescent="0.3">
      <c r="A488" s="13" t="s">
        <v>785</v>
      </c>
      <c r="B488" s="45">
        <v>45465</v>
      </c>
      <c r="C488" s="1" t="s">
        <v>713</v>
      </c>
      <c r="D488" s="41" t="s">
        <v>1374</v>
      </c>
      <c r="E488" s="1">
        <v>2024</v>
      </c>
      <c r="F488" s="1" t="s">
        <v>29</v>
      </c>
      <c r="G488" s="60" t="s">
        <v>46</v>
      </c>
      <c r="H488" s="2" t="s">
        <v>50</v>
      </c>
      <c r="I488" s="2" t="s">
        <v>47</v>
      </c>
      <c r="J488" s="2" t="s">
        <v>595</v>
      </c>
      <c r="K488" s="1">
        <v>14</v>
      </c>
      <c r="L488" s="37">
        <v>181.81</v>
      </c>
      <c r="M488" s="3">
        <v>0</v>
      </c>
      <c r="N488" s="37">
        <v>2545.34</v>
      </c>
      <c r="O488" s="37">
        <v>0</v>
      </c>
      <c r="P488" s="53">
        <v>2545.34</v>
      </c>
      <c r="Q488" s="37">
        <v>1065.4000000000001</v>
      </c>
      <c r="R488" s="37">
        <v>1479.94</v>
      </c>
      <c r="S488" s="3">
        <v>58.1</v>
      </c>
      <c r="T488" s="1" t="s">
        <v>44</v>
      </c>
      <c r="U488" s="15">
        <v>3</v>
      </c>
    </row>
    <row r="489" spans="1:21" x14ac:dyDescent="0.3">
      <c r="A489" s="14" t="s">
        <v>786</v>
      </c>
      <c r="B489" s="46">
        <v>45466</v>
      </c>
      <c r="C489" s="4" t="s">
        <v>713</v>
      </c>
      <c r="D489" s="42" t="s">
        <v>1374</v>
      </c>
      <c r="E489" s="4">
        <v>2024</v>
      </c>
      <c r="F489" s="4" t="s">
        <v>29</v>
      </c>
      <c r="G489" s="61" t="s">
        <v>42</v>
      </c>
      <c r="H489" s="5" t="s">
        <v>24</v>
      </c>
      <c r="I489" s="5" t="s">
        <v>31</v>
      </c>
      <c r="J489" s="5" t="s">
        <v>787</v>
      </c>
      <c r="K489" s="4">
        <v>16</v>
      </c>
      <c r="L489" s="38">
        <v>69.58</v>
      </c>
      <c r="M489" s="6">
        <v>0</v>
      </c>
      <c r="N489" s="38">
        <v>1113.28</v>
      </c>
      <c r="O489" s="38">
        <v>0</v>
      </c>
      <c r="P489" s="54">
        <v>1113.28</v>
      </c>
      <c r="Q489" s="38">
        <v>423</v>
      </c>
      <c r="R489" s="38">
        <v>690.28</v>
      </c>
      <c r="S489" s="6">
        <v>62</v>
      </c>
      <c r="T489" s="4" t="s">
        <v>27</v>
      </c>
      <c r="U489" s="16">
        <v>5</v>
      </c>
    </row>
    <row r="490" spans="1:21" x14ac:dyDescent="0.3">
      <c r="A490" s="13" t="s">
        <v>788</v>
      </c>
      <c r="B490" s="45">
        <v>45466</v>
      </c>
      <c r="C490" s="1" t="s">
        <v>713</v>
      </c>
      <c r="D490" s="41" t="s">
        <v>1374</v>
      </c>
      <c r="E490" s="1">
        <v>2024</v>
      </c>
      <c r="F490" s="1" t="s">
        <v>53</v>
      </c>
      <c r="G490" s="60" t="s">
        <v>30</v>
      </c>
      <c r="H490" s="2" t="s">
        <v>50</v>
      </c>
      <c r="I490" s="2" t="s">
        <v>25</v>
      </c>
      <c r="J490" s="2" t="s">
        <v>286</v>
      </c>
      <c r="K490" s="1">
        <v>2</v>
      </c>
      <c r="L490" s="37">
        <v>104.42</v>
      </c>
      <c r="M490" s="3">
        <v>15</v>
      </c>
      <c r="N490" s="37">
        <v>208.84</v>
      </c>
      <c r="O490" s="37">
        <v>31.33</v>
      </c>
      <c r="P490" s="53">
        <v>177.51</v>
      </c>
      <c r="Q490" s="37">
        <v>76.5</v>
      </c>
      <c r="R490" s="37">
        <v>101.01</v>
      </c>
      <c r="S490" s="3">
        <v>56.9</v>
      </c>
      <c r="T490" s="1" t="s">
        <v>44</v>
      </c>
      <c r="U490" s="15">
        <v>4</v>
      </c>
    </row>
    <row r="491" spans="1:21" x14ac:dyDescent="0.3">
      <c r="A491" s="14" t="s">
        <v>789</v>
      </c>
      <c r="B491" s="46">
        <v>45466</v>
      </c>
      <c r="C491" s="4" t="s">
        <v>713</v>
      </c>
      <c r="D491" s="42" t="s">
        <v>1374</v>
      </c>
      <c r="E491" s="4">
        <v>2024</v>
      </c>
      <c r="F491" s="4" t="s">
        <v>29</v>
      </c>
      <c r="G491" s="61" t="s">
        <v>36</v>
      </c>
      <c r="H491" s="5" t="s">
        <v>37</v>
      </c>
      <c r="I491" s="5" t="s">
        <v>47</v>
      </c>
      <c r="J491" s="5" t="s">
        <v>730</v>
      </c>
      <c r="K491" s="4">
        <v>5</v>
      </c>
      <c r="L491" s="38">
        <v>112.72</v>
      </c>
      <c r="M491" s="6">
        <v>15</v>
      </c>
      <c r="N491" s="38">
        <v>563.6</v>
      </c>
      <c r="O491" s="38">
        <v>84.54</v>
      </c>
      <c r="P491" s="54">
        <v>479.06</v>
      </c>
      <c r="Q491" s="38">
        <v>201.56</v>
      </c>
      <c r="R491" s="38">
        <v>277.5</v>
      </c>
      <c r="S491" s="6">
        <v>57.9</v>
      </c>
      <c r="T491" s="4" t="s">
        <v>27</v>
      </c>
      <c r="U491" s="16">
        <v>5</v>
      </c>
    </row>
    <row r="492" spans="1:21" x14ac:dyDescent="0.3">
      <c r="A492" s="13" t="s">
        <v>790</v>
      </c>
      <c r="B492" s="45">
        <v>45466</v>
      </c>
      <c r="C492" s="1" t="s">
        <v>713</v>
      </c>
      <c r="D492" s="41" t="s">
        <v>1374</v>
      </c>
      <c r="E492" s="1">
        <v>2024</v>
      </c>
      <c r="F492" s="1" t="s">
        <v>41</v>
      </c>
      <c r="G492" s="60" t="s">
        <v>46</v>
      </c>
      <c r="H492" s="2" t="s">
        <v>37</v>
      </c>
      <c r="I492" s="2" t="s">
        <v>55</v>
      </c>
      <c r="J492" s="2" t="s">
        <v>791</v>
      </c>
      <c r="K492" s="1">
        <v>9</v>
      </c>
      <c r="L492" s="37">
        <v>752.6</v>
      </c>
      <c r="M492" s="3">
        <v>0</v>
      </c>
      <c r="N492" s="37">
        <v>6773.4</v>
      </c>
      <c r="O492" s="37">
        <v>0</v>
      </c>
      <c r="P492" s="53">
        <v>6773.4</v>
      </c>
      <c r="Q492" s="37">
        <v>3248.97</v>
      </c>
      <c r="R492" s="37">
        <v>3524.43</v>
      </c>
      <c r="S492" s="3">
        <v>52</v>
      </c>
      <c r="T492" s="1" t="s">
        <v>44</v>
      </c>
      <c r="U492" s="15">
        <v>3</v>
      </c>
    </row>
    <row r="493" spans="1:21" x14ac:dyDescent="0.3">
      <c r="A493" s="14" t="s">
        <v>792</v>
      </c>
      <c r="B493" s="46">
        <v>45466</v>
      </c>
      <c r="C493" s="4" t="s">
        <v>713</v>
      </c>
      <c r="D493" s="42" t="s">
        <v>1374</v>
      </c>
      <c r="E493" s="4">
        <v>2024</v>
      </c>
      <c r="F493" s="4" t="s">
        <v>53</v>
      </c>
      <c r="G493" s="61" t="s">
        <v>23</v>
      </c>
      <c r="H493" s="5" t="s">
        <v>24</v>
      </c>
      <c r="I493" s="5" t="s">
        <v>31</v>
      </c>
      <c r="J493" s="5" t="s">
        <v>668</v>
      </c>
      <c r="K493" s="4">
        <v>3</v>
      </c>
      <c r="L493" s="38">
        <v>133.16</v>
      </c>
      <c r="M493" s="6">
        <v>20</v>
      </c>
      <c r="N493" s="38">
        <v>399.48</v>
      </c>
      <c r="O493" s="38">
        <v>79.900000000000006</v>
      </c>
      <c r="P493" s="54">
        <v>319.58</v>
      </c>
      <c r="Q493" s="38">
        <v>148.37</v>
      </c>
      <c r="R493" s="38">
        <v>171.21</v>
      </c>
      <c r="S493" s="6">
        <v>53.6</v>
      </c>
      <c r="T493" s="4" t="s">
        <v>44</v>
      </c>
      <c r="U493" s="16">
        <v>1</v>
      </c>
    </row>
    <row r="494" spans="1:21" x14ac:dyDescent="0.3">
      <c r="A494" s="13" t="s">
        <v>793</v>
      </c>
      <c r="B494" s="45">
        <v>45467</v>
      </c>
      <c r="C494" s="1" t="s">
        <v>713</v>
      </c>
      <c r="D494" s="41" t="s">
        <v>1374</v>
      </c>
      <c r="E494" s="1">
        <v>2024</v>
      </c>
      <c r="F494" s="1" t="s">
        <v>53</v>
      </c>
      <c r="G494" s="60" t="s">
        <v>46</v>
      </c>
      <c r="H494" s="2" t="s">
        <v>50</v>
      </c>
      <c r="I494" s="2" t="s">
        <v>47</v>
      </c>
      <c r="J494" s="2" t="s">
        <v>172</v>
      </c>
      <c r="K494" s="1">
        <v>2</v>
      </c>
      <c r="L494" s="37">
        <v>214.64</v>
      </c>
      <c r="M494" s="3">
        <v>0</v>
      </c>
      <c r="N494" s="37">
        <v>429.28</v>
      </c>
      <c r="O494" s="37">
        <v>0</v>
      </c>
      <c r="P494" s="53">
        <v>429.28</v>
      </c>
      <c r="Q494" s="37">
        <v>169.03</v>
      </c>
      <c r="R494" s="37">
        <v>260.25</v>
      </c>
      <c r="S494" s="3">
        <v>60.6</v>
      </c>
      <c r="T494" s="1" t="s">
        <v>44</v>
      </c>
      <c r="U494" s="15">
        <v>2</v>
      </c>
    </row>
    <row r="495" spans="1:21" x14ac:dyDescent="0.3">
      <c r="A495" s="14" t="s">
        <v>794</v>
      </c>
      <c r="B495" s="46">
        <v>45468</v>
      </c>
      <c r="C495" s="4" t="s">
        <v>713</v>
      </c>
      <c r="D495" s="42" t="s">
        <v>1374</v>
      </c>
      <c r="E495" s="4">
        <v>2024</v>
      </c>
      <c r="F495" s="4" t="s">
        <v>22</v>
      </c>
      <c r="G495" s="61" t="s">
        <v>91</v>
      </c>
      <c r="H495" s="5" t="s">
        <v>37</v>
      </c>
      <c r="I495" s="5" t="s">
        <v>55</v>
      </c>
      <c r="J495" s="5" t="s">
        <v>185</v>
      </c>
      <c r="K495" s="4">
        <v>8</v>
      </c>
      <c r="L495" s="38">
        <v>541.86</v>
      </c>
      <c r="M495" s="6">
        <v>0</v>
      </c>
      <c r="N495" s="38">
        <v>4334.88</v>
      </c>
      <c r="O495" s="38">
        <v>0</v>
      </c>
      <c r="P495" s="54">
        <v>4334.88</v>
      </c>
      <c r="Q495" s="38">
        <v>2764.55</v>
      </c>
      <c r="R495" s="38">
        <v>1570.33</v>
      </c>
      <c r="S495" s="6">
        <v>36.200000000000003</v>
      </c>
      <c r="T495" s="4" t="s">
        <v>44</v>
      </c>
      <c r="U495" s="16">
        <v>4</v>
      </c>
    </row>
    <row r="496" spans="1:21" x14ac:dyDescent="0.3">
      <c r="A496" s="13" t="s">
        <v>795</v>
      </c>
      <c r="B496" s="45">
        <v>45468</v>
      </c>
      <c r="C496" s="1" t="s">
        <v>713</v>
      </c>
      <c r="D496" s="41" t="s">
        <v>1374</v>
      </c>
      <c r="E496" s="1">
        <v>2024</v>
      </c>
      <c r="F496" s="1" t="s">
        <v>29</v>
      </c>
      <c r="G496" s="60" t="s">
        <v>54</v>
      </c>
      <c r="H496" s="2" t="s">
        <v>24</v>
      </c>
      <c r="I496" s="2" t="s">
        <v>31</v>
      </c>
      <c r="J496" s="2" t="s">
        <v>796</v>
      </c>
      <c r="K496" s="1">
        <v>17</v>
      </c>
      <c r="L496" s="37">
        <v>75.67</v>
      </c>
      <c r="M496" s="3">
        <v>5</v>
      </c>
      <c r="N496" s="37">
        <v>1286.3900000000001</v>
      </c>
      <c r="O496" s="37">
        <v>64.319999999999993</v>
      </c>
      <c r="P496" s="53">
        <v>1222.07</v>
      </c>
      <c r="Q496" s="37">
        <v>482.55</v>
      </c>
      <c r="R496" s="37">
        <v>739.52</v>
      </c>
      <c r="S496" s="3">
        <v>60.5</v>
      </c>
      <c r="T496" s="1" t="s">
        <v>33</v>
      </c>
      <c r="U496" s="15">
        <v>4</v>
      </c>
    </row>
    <row r="497" spans="1:21" x14ac:dyDescent="0.3">
      <c r="A497" s="14" t="s">
        <v>797</v>
      </c>
      <c r="B497" s="46">
        <v>45468</v>
      </c>
      <c r="C497" s="4" t="s">
        <v>713</v>
      </c>
      <c r="D497" s="42" t="s">
        <v>1374</v>
      </c>
      <c r="E497" s="4">
        <v>2024</v>
      </c>
      <c r="F497" s="4" t="s">
        <v>41</v>
      </c>
      <c r="G497" s="61" t="s">
        <v>23</v>
      </c>
      <c r="H497" s="5" t="s">
        <v>50</v>
      </c>
      <c r="I497" s="5" t="s">
        <v>38</v>
      </c>
      <c r="J497" s="5" t="s">
        <v>798</v>
      </c>
      <c r="K497" s="4">
        <v>14</v>
      </c>
      <c r="L497" s="38">
        <v>35.06</v>
      </c>
      <c r="M497" s="6">
        <v>10</v>
      </c>
      <c r="N497" s="38">
        <v>490.84</v>
      </c>
      <c r="O497" s="38">
        <v>49.08</v>
      </c>
      <c r="P497" s="54">
        <v>441.76</v>
      </c>
      <c r="Q497" s="38">
        <v>261.39</v>
      </c>
      <c r="R497" s="38">
        <v>180.37</v>
      </c>
      <c r="S497" s="6">
        <v>40.799999999999997</v>
      </c>
      <c r="T497" s="4" t="s">
        <v>44</v>
      </c>
      <c r="U497" s="16">
        <v>3</v>
      </c>
    </row>
    <row r="498" spans="1:21" x14ac:dyDescent="0.3">
      <c r="A498" s="13" t="s">
        <v>799</v>
      </c>
      <c r="B498" s="45">
        <v>45469</v>
      </c>
      <c r="C498" s="1" t="s">
        <v>713</v>
      </c>
      <c r="D498" s="41" t="s">
        <v>1374</v>
      </c>
      <c r="E498" s="1">
        <v>2024</v>
      </c>
      <c r="F498" s="1" t="s">
        <v>29</v>
      </c>
      <c r="G498" s="60" t="s">
        <v>23</v>
      </c>
      <c r="H498" s="2" t="s">
        <v>50</v>
      </c>
      <c r="I498" s="2" t="s">
        <v>75</v>
      </c>
      <c r="J498" s="2" t="s">
        <v>469</v>
      </c>
      <c r="K498" s="1">
        <v>12</v>
      </c>
      <c r="L498" s="37">
        <v>60.77</v>
      </c>
      <c r="M498" s="3">
        <v>5</v>
      </c>
      <c r="N498" s="37">
        <v>729.24</v>
      </c>
      <c r="O498" s="37">
        <v>36.46</v>
      </c>
      <c r="P498" s="53">
        <v>692.78</v>
      </c>
      <c r="Q498" s="37">
        <v>279.18</v>
      </c>
      <c r="R498" s="37">
        <v>413.6</v>
      </c>
      <c r="S498" s="3">
        <v>59.7</v>
      </c>
      <c r="T498" s="1" t="s">
        <v>44</v>
      </c>
      <c r="U498" s="15">
        <v>2</v>
      </c>
    </row>
    <row r="499" spans="1:21" x14ac:dyDescent="0.3">
      <c r="A499" s="14" t="s">
        <v>800</v>
      </c>
      <c r="B499" s="46">
        <v>45470</v>
      </c>
      <c r="C499" s="4" t="s">
        <v>713</v>
      </c>
      <c r="D499" s="42" t="s">
        <v>1374</v>
      </c>
      <c r="E499" s="4">
        <v>2024</v>
      </c>
      <c r="F499" s="4" t="s">
        <v>41</v>
      </c>
      <c r="G499" s="61" t="s">
        <v>54</v>
      </c>
      <c r="H499" s="5" t="s">
        <v>24</v>
      </c>
      <c r="I499" s="5" t="s">
        <v>25</v>
      </c>
      <c r="J499" s="5" t="s">
        <v>801</v>
      </c>
      <c r="K499" s="4">
        <v>15</v>
      </c>
      <c r="L499" s="38">
        <v>147.44</v>
      </c>
      <c r="M499" s="6">
        <v>20</v>
      </c>
      <c r="N499" s="38">
        <v>2211.6</v>
      </c>
      <c r="O499" s="38">
        <v>442.32</v>
      </c>
      <c r="P499" s="54">
        <v>1769.28</v>
      </c>
      <c r="Q499" s="38">
        <v>884.43</v>
      </c>
      <c r="R499" s="38">
        <v>884.85</v>
      </c>
      <c r="S499" s="6">
        <v>50</v>
      </c>
      <c r="T499" s="4" t="s">
        <v>27</v>
      </c>
      <c r="U499" s="16">
        <v>5</v>
      </c>
    </row>
    <row r="500" spans="1:21" x14ac:dyDescent="0.3">
      <c r="A500" s="13" t="s">
        <v>802</v>
      </c>
      <c r="B500" s="45">
        <v>45471</v>
      </c>
      <c r="C500" s="1" t="s">
        <v>713</v>
      </c>
      <c r="D500" s="41" t="s">
        <v>1374</v>
      </c>
      <c r="E500" s="1">
        <v>2024</v>
      </c>
      <c r="F500" s="1" t="s">
        <v>35</v>
      </c>
      <c r="G500" s="60" t="s">
        <v>58</v>
      </c>
      <c r="H500" s="2" t="s">
        <v>50</v>
      </c>
      <c r="I500" s="2" t="s">
        <v>55</v>
      </c>
      <c r="J500" s="2" t="s">
        <v>100</v>
      </c>
      <c r="K500" s="1">
        <v>3</v>
      </c>
      <c r="L500" s="37">
        <v>599.07000000000005</v>
      </c>
      <c r="M500" s="3">
        <v>10</v>
      </c>
      <c r="N500" s="37">
        <v>1797.21</v>
      </c>
      <c r="O500" s="37">
        <v>179.72</v>
      </c>
      <c r="P500" s="53">
        <v>1617.49</v>
      </c>
      <c r="Q500" s="37">
        <v>1049.21</v>
      </c>
      <c r="R500" s="37">
        <v>568.28</v>
      </c>
      <c r="S500" s="3">
        <v>35.1</v>
      </c>
      <c r="T500" s="1" t="s">
        <v>27</v>
      </c>
      <c r="U500" s="15">
        <v>5</v>
      </c>
    </row>
    <row r="501" spans="1:21" x14ac:dyDescent="0.3">
      <c r="A501" s="14" t="s">
        <v>803</v>
      </c>
      <c r="B501" s="46">
        <v>45471</v>
      </c>
      <c r="C501" s="4" t="s">
        <v>713</v>
      </c>
      <c r="D501" s="42" t="s">
        <v>1374</v>
      </c>
      <c r="E501" s="4">
        <v>2024</v>
      </c>
      <c r="F501" s="4" t="s">
        <v>22</v>
      </c>
      <c r="G501" s="61" t="s">
        <v>58</v>
      </c>
      <c r="H501" s="5" t="s">
        <v>37</v>
      </c>
      <c r="I501" s="5" t="s">
        <v>38</v>
      </c>
      <c r="J501" s="5" t="s">
        <v>433</v>
      </c>
      <c r="K501" s="4">
        <v>19</v>
      </c>
      <c r="L501" s="38">
        <v>75.19</v>
      </c>
      <c r="M501" s="6">
        <v>15</v>
      </c>
      <c r="N501" s="38">
        <v>1428.61</v>
      </c>
      <c r="O501" s="38">
        <v>214.29</v>
      </c>
      <c r="P501" s="54">
        <v>1214.32</v>
      </c>
      <c r="Q501" s="38">
        <v>734.44</v>
      </c>
      <c r="R501" s="38">
        <v>479.88</v>
      </c>
      <c r="S501" s="6">
        <v>39.5</v>
      </c>
      <c r="T501" s="4" t="s">
        <v>27</v>
      </c>
      <c r="U501" s="16">
        <v>2</v>
      </c>
    </row>
    <row r="502" spans="1:21" x14ac:dyDescent="0.3">
      <c r="A502" s="13" t="s">
        <v>804</v>
      </c>
      <c r="B502" s="45">
        <v>45471</v>
      </c>
      <c r="C502" s="1" t="s">
        <v>713</v>
      </c>
      <c r="D502" s="41" t="s">
        <v>1374</v>
      </c>
      <c r="E502" s="1">
        <v>2024</v>
      </c>
      <c r="F502" s="1" t="s">
        <v>53</v>
      </c>
      <c r="G502" s="60" t="s">
        <v>30</v>
      </c>
      <c r="H502" s="2" t="s">
        <v>37</v>
      </c>
      <c r="I502" s="2" t="s">
        <v>55</v>
      </c>
      <c r="J502" s="2" t="s">
        <v>399</v>
      </c>
      <c r="K502" s="1">
        <v>4</v>
      </c>
      <c r="L502" s="37">
        <v>57.85</v>
      </c>
      <c r="M502" s="3">
        <v>5</v>
      </c>
      <c r="N502" s="37">
        <v>231.4</v>
      </c>
      <c r="O502" s="37">
        <v>11.57</v>
      </c>
      <c r="P502" s="53">
        <v>219.83</v>
      </c>
      <c r="Q502" s="37">
        <v>111.04</v>
      </c>
      <c r="R502" s="37">
        <v>108.79</v>
      </c>
      <c r="S502" s="3">
        <v>49.5</v>
      </c>
      <c r="T502" s="1" t="s">
        <v>33</v>
      </c>
      <c r="U502" s="15">
        <v>5</v>
      </c>
    </row>
    <row r="503" spans="1:21" x14ac:dyDescent="0.3">
      <c r="A503" s="14" t="s">
        <v>805</v>
      </c>
      <c r="B503" s="46">
        <v>45472</v>
      </c>
      <c r="C503" s="4" t="s">
        <v>713</v>
      </c>
      <c r="D503" s="42" t="s">
        <v>1374</v>
      </c>
      <c r="E503" s="4">
        <v>2024</v>
      </c>
      <c r="F503" s="4" t="s">
        <v>22</v>
      </c>
      <c r="G503" s="61" t="s">
        <v>54</v>
      </c>
      <c r="H503" s="5" t="s">
        <v>24</v>
      </c>
      <c r="I503" s="5" t="s">
        <v>75</v>
      </c>
      <c r="J503" s="5" t="s">
        <v>674</v>
      </c>
      <c r="K503" s="4">
        <v>17</v>
      </c>
      <c r="L503" s="38">
        <v>168.84</v>
      </c>
      <c r="M503" s="6">
        <v>0</v>
      </c>
      <c r="N503" s="38">
        <v>2870.28</v>
      </c>
      <c r="O503" s="38">
        <v>0</v>
      </c>
      <c r="P503" s="54">
        <v>2870.28</v>
      </c>
      <c r="Q503" s="38">
        <v>1625.06</v>
      </c>
      <c r="R503" s="38">
        <v>1245.22</v>
      </c>
      <c r="S503" s="6">
        <v>43.4</v>
      </c>
      <c r="T503" s="4" t="s">
        <v>33</v>
      </c>
      <c r="U503" s="16">
        <v>4</v>
      </c>
    </row>
    <row r="504" spans="1:21" x14ac:dyDescent="0.3">
      <c r="A504" s="13" t="s">
        <v>806</v>
      </c>
      <c r="B504" s="45">
        <v>45472</v>
      </c>
      <c r="C504" s="1" t="s">
        <v>713</v>
      </c>
      <c r="D504" s="41" t="s">
        <v>1374</v>
      </c>
      <c r="E504" s="1">
        <v>2024</v>
      </c>
      <c r="F504" s="1" t="s">
        <v>35</v>
      </c>
      <c r="G504" s="60" t="s">
        <v>36</v>
      </c>
      <c r="H504" s="2" t="s">
        <v>59</v>
      </c>
      <c r="I504" s="2" t="s">
        <v>75</v>
      </c>
      <c r="J504" s="2" t="s">
        <v>807</v>
      </c>
      <c r="K504" s="1">
        <v>5</v>
      </c>
      <c r="L504" s="37">
        <v>192.53</v>
      </c>
      <c r="M504" s="3">
        <v>10</v>
      </c>
      <c r="N504" s="37">
        <v>962.65</v>
      </c>
      <c r="O504" s="37">
        <v>96.27</v>
      </c>
      <c r="P504" s="53">
        <v>866.38</v>
      </c>
      <c r="Q504" s="37">
        <v>507.35</v>
      </c>
      <c r="R504" s="37">
        <v>359.03</v>
      </c>
      <c r="S504" s="3">
        <v>41.4</v>
      </c>
      <c r="T504" s="1" t="s">
        <v>27</v>
      </c>
      <c r="U504" s="15">
        <v>4</v>
      </c>
    </row>
    <row r="505" spans="1:21" x14ac:dyDescent="0.3">
      <c r="A505" s="14" t="s">
        <v>808</v>
      </c>
      <c r="B505" s="46">
        <v>45473</v>
      </c>
      <c r="C505" s="4" t="s">
        <v>713</v>
      </c>
      <c r="D505" s="42" t="s">
        <v>1374</v>
      </c>
      <c r="E505" s="4">
        <v>2024</v>
      </c>
      <c r="F505" s="4" t="s">
        <v>22</v>
      </c>
      <c r="G505" s="61" t="s">
        <v>91</v>
      </c>
      <c r="H505" s="5" t="s">
        <v>50</v>
      </c>
      <c r="I505" s="5" t="s">
        <v>47</v>
      </c>
      <c r="J505" s="5" t="s">
        <v>158</v>
      </c>
      <c r="K505" s="4">
        <v>13</v>
      </c>
      <c r="L505" s="38">
        <v>148.16</v>
      </c>
      <c r="M505" s="6">
        <v>5</v>
      </c>
      <c r="N505" s="38">
        <v>1926.08</v>
      </c>
      <c r="O505" s="38">
        <v>96.3</v>
      </c>
      <c r="P505" s="54">
        <v>1829.78</v>
      </c>
      <c r="Q505" s="38">
        <v>805.12</v>
      </c>
      <c r="R505" s="38">
        <v>1024.6600000000001</v>
      </c>
      <c r="S505" s="6">
        <v>56</v>
      </c>
      <c r="T505" s="4" t="s">
        <v>44</v>
      </c>
      <c r="U505" s="16">
        <v>3</v>
      </c>
    </row>
    <row r="506" spans="1:21" x14ac:dyDescent="0.3">
      <c r="A506" s="13" t="s">
        <v>809</v>
      </c>
      <c r="B506" s="45">
        <v>45473</v>
      </c>
      <c r="C506" s="1" t="s">
        <v>713</v>
      </c>
      <c r="D506" s="41" t="s">
        <v>1374</v>
      </c>
      <c r="E506" s="1">
        <v>2024</v>
      </c>
      <c r="F506" s="1" t="s">
        <v>22</v>
      </c>
      <c r="G506" s="60" t="s">
        <v>46</v>
      </c>
      <c r="H506" s="2" t="s">
        <v>37</v>
      </c>
      <c r="I506" s="2" t="s">
        <v>25</v>
      </c>
      <c r="J506" s="2" t="s">
        <v>308</v>
      </c>
      <c r="K506" s="1">
        <v>3</v>
      </c>
      <c r="L506" s="37">
        <v>56.15</v>
      </c>
      <c r="M506" s="3">
        <v>20</v>
      </c>
      <c r="N506" s="37">
        <v>168.45</v>
      </c>
      <c r="O506" s="37">
        <v>33.69</v>
      </c>
      <c r="P506" s="53">
        <v>134.76</v>
      </c>
      <c r="Q506" s="37">
        <v>69.89</v>
      </c>
      <c r="R506" s="37">
        <v>64.87</v>
      </c>
      <c r="S506" s="3">
        <v>48.1</v>
      </c>
      <c r="T506" s="1" t="s">
        <v>44</v>
      </c>
      <c r="U506" s="15">
        <v>4</v>
      </c>
    </row>
    <row r="507" spans="1:21" x14ac:dyDescent="0.3">
      <c r="A507" s="14" t="s">
        <v>810</v>
      </c>
      <c r="B507" s="46">
        <v>45473</v>
      </c>
      <c r="C507" s="4" t="s">
        <v>713</v>
      </c>
      <c r="D507" s="42" t="s">
        <v>1374</v>
      </c>
      <c r="E507" s="4">
        <v>2024</v>
      </c>
      <c r="F507" s="4" t="s">
        <v>35</v>
      </c>
      <c r="G507" s="61" t="s">
        <v>42</v>
      </c>
      <c r="H507" s="5" t="s">
        <v>37</v>
      </c>
      <c r="I507" s="5" t="s">
        <v>25</v>
      </c>
      <c r="J507" s="5" t="s">
        <v>714</v>
      </c>
      <c r="K507" s="4">
        <v>19</v>
      </c>
      <c r="L507" s="38">
        <v>91.54</v>
      </c>
      <c r="M507" s="6">
        <v>0</v>
      </c>
      <c r="N507" s="38">
        <v>1739.26</v>
      </c>
      <c r="O507" s="38">
        <v>0</v>
      </c>
      <c r="P507" s="54">
        <v>1739.26</v>
      </c>
      <c r="Q507" s="38">
        <v>905.02</v>
      </c>
      <c r="R507" s="38">
        <v>834.24</v>
      </c>
      <c r="S507" s="6">
        <v>48</v>
      </c>
      <c r="T507" s="4" t="s">
        <v>44</v>
      </c>
      <c r="U507" s="16">
        <v>3</v>
      </c>
    </row>
    <row r="508" spans="1:21" x14ac:dyDescent="0.3">
      <c r="A508" s="13" t="s">
        <v>811</v>
      </c>
      <c r="B508" s="45">
        <v>45473</v>
      </c>
      <c r="C508" s="1" t="s">
        <v>713</v>
      </c>
      <c r="D508" s="41" t="s">
        <v>1374</v>
      </c>
      <c r="E508" s="1">
        <v>2024</v>
      </c>
      <c r="F508" s="1" t="s">
        <v>22</v>
      </c>
      <c r="G508" s="60" t="s">
        <v>122</v>
      </c>
      <c r="H508" s="2" t="s">
        <v>37</v>
      </c>
      <c r="I508" s="2" t="s">
        <v>55</v>
      </c>
      <c r="J508" s="2" t="s">
        <v>791</v>
      </c>
      <c r="K508" s="1">
        <v>19</v>
      </c>
      <c r="L508" s="37">
        <v>708.81</v>
      </c>
      <c r="M508" s="3">
        <v>10</v>
      </c>
      <c r="N508" s="37">
        <v>13467.39</v>
      </c>
      <c r="O508" s="37">
        <v>1346.74</v>
      </c>
      <c r="P508" s="53">
        <v>12120.65</v>
      </c>
      <c r="Q508" s="37">
        <v>5690.89</v>
      </c>
      <c r="R508" s="37">
        <v>6429.76</v>
      </c>
      <c r="S508" s="3">
        <v>53</v>
      </c>
      <c r="T508" s="1" t="s">
        <v>27</v>
      </c>
      <c r="U508" s="15">
        <v>5</v>
      </c>
    </row>
    <row r="509" spans="1:21" x14ac:dyDescent="0.3">
      <c r="A509" s="14" t="s">
        <v>812</v>
      </c>
      <c r="B509" s="46">
        <v>45475</v>
      </c>
      <c r="C509" s="4" t="s">
        <v>813</v>
      </c>
      <c r="D509" s="42" t="s">
        <v>1375</v>
      </c>
      <c r="E509" s="4">
        <v>2024</v>
      </c>
      <c r="F509" s="4" t="s">
        <v>22</v>
      </c>
      <c r="G509" s="61" t="s">
        <v>30</v>
      </c>
      <c r="H509" s="5" t="s">
        <v>37</v>
      </c>
      <c r="I509" s="5" t="s">
        <v>75</v>
      </c>
      <c r="J509" s="5" t="s">
        <v>284</v>
      </c>
      <c r="K509" s="4">
        <v>2</v>
      </c>
      <c r="L509" s="38">
        <v>123.08</v>
      </c>
      <c r="M509" s="6">
        <v>0</v>
      </c>
      <c r="N509" s="38">
        <v>246.16</v>
      </c>
      <c r="O509" s="38">
        <v>0</v>
      </c>
      <c r="P509" s="54">
        <v>246.16</v>
      </c>
      <c r="Q509" s="38">
        <v>137.15</v>
      </c>
      <c r="R509" s="38">
        <v>109.01</v>
      </c>
      <c r="S509" s="6">
        <v>44.3</v>
      </c>
      <c r="T509" s="4" t="s">
        <v>44</v>
      </c>
      <c r="U509" s="16">
        <v>1</v>
      </c>
    </row>
    <row r="510" spans="1:21" x14ac:dyDescent="0.3">
      <c r="A510" s="13" t="s">
        <v>814</v>
      </c>
      <c r="B510" s="45">
        <v>45475</v>
      </c>
      <c r="C510" s="1" t="s">
        <v>813</v>
      </c>
      <c r="D510" s="41" t="s">
        <v>1375</v>
      </c>
      <c r="E510" s="1">
        <v>2024</v>
      </c>
      <c r="F510" s="1" t="s">
        <v>35</v>
      </c>
      <c r="G510" s="60" t="s">
        <v>58</v>
      </c>
      <c r="H510" s="2" t="s">
        <v>50</v>
      </c>
      <c r="I510" s="2" t="s">
        <v>25</v>
      </c>
      <c r="J510" s="2" t="s">
        <v>387</v>
      </c>
      <c r="K510" s="1">
        <v>14</v>
      </c>
      <c r="L510" s="37">
        <v>60.34</v>
      </c>
      <c r="M510" s="3">
        <v>20</v>
      </c>
      <c r="N510" s="37">
        <v>844.76</v>
      </c>
      <c r="O510" s="37">
        <v>168.95</v>
      </c>
      <c r="P510" s="53">
        <v>675.81</v>
      </c>
      <c r="Q510" s="37">
        <v>248.71</v>
      </c>
      <c r="R510" s="37">
        <v>427.1</v>
      </c>
      <c r="S510" s="3">
        <v>63.2</v>
      </c>
      <c r="T510" s="1" t="s">
        <v>44</v>
      </c>
      <c r="U510" s="15">
        <v>1</v>
      </c>
    </row>
    <row r="511" spans="1:21" x14ac:dyDescent="0.3">
      <c r="A511" s="14" t="s">
        <v>815</v>
      </c>
      <c r="B511" s="46">
        <v>45476</v>
      </c>
      <c r="C511" s="4" t="s">
        <v>813</v>
      </c>
      <c r="D511" s="42" t="s">
        <v>1375</v>
      </c>
      <c r="E511" s="4">
        <v>2024</v>
      </c>
      <c r="F511" s="4" t="s">
        <v>35</v>
      </c>
      <c r="G511" s="61" t="s">
        <v>23</v>
      </c>
      <c r="H511" s="5" t="s">
        <v>59</v>
      </c>
      <c r="I511" s="5" t="s">
        <v>31</v>
      </c>
      <c r="J511" s="5" t="s">
        <v>292</v>
      </c>
      <c r="K511" s="4">
        <v>5</v>
      </c>
      <c r="L511" s="38">
        <v>58.72</v>
      </c>
      <c r="M511" s="6">
        <v>15</v>
      </c>
      <c r="N511" s="38">
        <v>293.60000000000002</v>
      </c>
      <c r="O511" s="38">
        <v>44.04</v>
      </c>
      <c r="P511" s="54">
        <v>249.56</v>
      </c>
      <c r="Q511" s="38">
        <v>148.27000000000001</v>
      </c>
      <c r="R511" s="38">
        <v>101.29</v>
      </c>
      <c r="S511" s="6">
        <v>40.6</v>
      </c>
      <c r="T511" s="4" t="s">
        <v>44</v>
      </c>
      <c r="U511" s="16">
        <v>1</v>
      </c>
    </row>
    <row r="512" spans="1:21" x14ac:dyDescent="0.3">
      <c r="A512" s="13" t="s">
        <v>816</v>
      </c>
      <c r="B512" s="45">
        <v>45477</v>
      </c>
      <c r="C512" s="1" t="s">
        <v>813</v>
      </c>
      <c r="D512" s="41" t="s">
        <v>1375</v>
      </c>
      <c r="E512" s="1">
        <v>2024</v>
      </c>
      <c r="F512" s="1" t="s">
        <v>53</v>
      </c>
      <c r="G512" s="60" t="s">
        <v>30</v>
      </c>
      <c r="H512" s="2" t="s">
        <v>50</v>
      </c>
      <c r="I512" s="2" t="s">
        <v>25</v>
      </c>
      <c r="J512" s="2" t="s">
        <v>702</v>
      </c>
      <c r="K512" s="1">
        <v>8</v>
      </c>
      <c r="L512" s="37">
        <v>103.49</v>
      </c>
      <c r="M512" s="3">
        <v>20</v>
      </c>
      <c r="N512" s="37">
        <v>827.92</v>
      </c>
      <c r="O512" s="37">
        <v>165.58</v>
      </c>
      <c r="P512" s="53">
        <v>662.34</v>
      </c>
      <c r="Q512" s="37">
        <v>326.51</v>
      </c>
      <c r="R512" s="37">
        <v>335.83</v>
      </c>
      <c r="S512" s="3">
        <v>50.7</v>
      </c>
      <c r="T512" s="1" t="s">
        <v>33</v>
      </c>
      <c r="U512" s="15">
        <v>1</v>
      </c>
    </row>
    <row r="513" spans="1:21" x14ac:dyDescent="0.3">
      <c r="A513" s="14" t="s">
        <v>817</v>
      </c>
      <c r="B513" s="46">
        <v>45477</v>
      </c>
      <c r="C513" s="4" t="s">
        <v>813</v>
      </c>
      <c r="D513" s="42" t="s">
        <v>1375</v>
      </c>
      <c r="E513" s="4">
        <v>2024</v>
      </c>
      <c r="F513" s="4" t="s">
        <v>41</v>
      </c>
      <c r="G513" s="61" t="s">
        <v>66</v>
      </c>
      <c r="H513" s="5" t="s">
        <v>50</v>
      </c>
      <c r="I513" s="5" t="s">
        <v>55</v>
      </c>
      <c r="J513" s="5" t="s">
        <v>438</v>
      </c>
      <c r="K513" s="4">
        <v>10</v>
      </c>
      <c r="L513" s="38">
        <v>585.20000000000005</v>
      </c>
      <c r="M513" s="6">
        <v>15</v>
      </c>
      <c r="N513" s="38">
        <v>5852</v>
      </c>
      <c r="O513" s="38">
        <v>877.8</v>
      </c>
      <c r="P513" s="54">
        <v>4974.2</v>
      </c>
      <c r="Q513" s="38">
        <v>2680.89</v>
      </c>
      <c r="R513" s="38">
        <v>2293.31</v>
      </c>
      <c r="S513" s="6">
        <v>46.1</v>
      </c>
      <c r="T513" s="4" t="s">
        <v>27</v>
      </c>
      <c r="U513" s="16">
        <v>1</v>
      </c>
    </row>
    <row r="514" spans="1:21" x14ac:dyDescent="0.3">
      <c r="A514" s="13" t="s">
        <v>818</v>
      </c>
      <c r="B514" s="45">
        <v>45477</v>
      </c>
      <c r="C514" s="1" t="s">
        <v>813</v>
      </c>
      <c r="D514" s="41" t="s">
        <v>1375</v>
      </c>
      <c r="E514" s="1">
        <v>2024</v>
      </c>
      <c r="F514" s="1" t="s">
        <v>41</v>
      </c>
      <c r="G514" s="60" t="s">
        <v>23</v>
      </c>
      <c r="H514" s="2" t="s">
        <v>24</v>
      </c>
      <c r="I514" s="2" t="s">
        <v>38</v>
      </c>
      <c r="J514" s="2" t="s">
        <v>265</v>
      </c>
      <c r="K514" s="1">
        <v>9</v>
      </c>
      <c r="L514" s="37">
        <v>16.98</v>
      </c>
      <c r="M514" s="3">
        <v>0</v>
      </c>
      <c r="N514" s="37">
        <v>152.82</v>
      </c>
      <c r="O514" s="37">
        <v>0</v>
      </c>
      <c r="P514" s="53">
        <v>152.82</v>
      </c>
      <c r="Q514" s="37">
        <v>74.11</v>
      </c>
      <c r="R514" s="37">
        <v>78.709999999999994</v>
      </c>
      <c r="S514" s="3">
        <v>51.5</v>
      </c>
      <c r="T514" s="1" t="s">
        <v>44</v>
      </c>
      <c r="U514" s="15">
        <v>5</v>
      </c>
    </row>
    <row r="515" spans="1:21" x14ac:dyDescent="0.3">
      <c r="A515" s="14" t="s">
        <v>819</v>
      </c>
      <c r="B515" s="46">
        <v>45477</v>
      </c>
      <c r="C515" s="4" t="s">
        <v>813</v>
      </c>
      <c r="D515" s="42" t="s">
        <v>1375</v>
      </c>
      <c r="E515" s="4">
        <v>2024</v>
      </c>
      <c r="F515" s="4" t="s">
        <v>35</v>
      </c>
      <c r="G515" s="61" t="s">
        <v>91</v>
      </c>
      <c r="H515" s="5" t="s">
        <v>37</v>
      </c>
      <c r="I515" s="5" t="s">
        <v>38</v>
      </c>
      <c r="J515" s="5" t="s">
        <v>265</v>
      </c>
      <c r="K515" s="4">
        <v>11</v>
      </c>
      <c r="L515" s="38">
        <v>56.46</v>
      </c>
      <c r="M515" s="6">
        <v>5</v>
      </c>
      <c r="N515" s="38">
        <v>621.05999999999995</v>
      </c>
      <c r="O515" s="38">
        <v>31.05</v>
      </c>
      <c r="P515" s="54">
        <v>590.01</v>
      </c>
      <c r="Q515" s="38">
        <v>265.74</v>
      </c>
      <c r="R515" s="38">
        <v>324.27</v>
      </c>
      <c r="S515" s="6">
        <v>55</v>
      </c>
      <c r="T515" s="4" t="s">
        <v>44</v>
      </c>
      <c r="U515" s="16">
        <v>4</v>
      </c>
    </row>
    <row r="516" spans="1:21" x14ac:dyDescent="0.3">
      <c r="A516" s="13" t="s">
        <v>820</v>
      </c>
      <c r="B516" s="45">
        <v>45478</v>
      </c>
      <c r="C516" s="1" t="s">
        <v>813</v>
      </c>
      <c r="D516" s="41" t="s">
        <v>1375</v>
      </c>
      <c r="E516" s="1">
        <v>2024</v>
      </c>
      <c r="F516" s="1" t="s">
        <v>41</v>
      </c>
      <c r="G516" s="60" t="s">
        <v>23</v>
      </c>
      <c r="H516" s="2" t="s">
        <v>37</v>
      </c>
      <c r="I516" s="2" t="s">
        <v>25</v>
      </c>
      <c r="J516" s="2" t="s">
        <v>702</v>
      </c>
      <c r="K516" s="1">
        <v>13</v>
      </c>
      <c r="L516" s="37">
        <v>139.22999999999999</v>
      </c>
      <c r="M516" s="3">
        <v>5</v>
      </c>
      <c r="N516" s="37">
        <v>1809.99</v>
      </c>
      <c r="O516" s="37">
        <v>90.5</v>
      </c>
      <c r="P516" s="53">
        <v>1719.49</v>
      </c>
      <c r="Q516" s="37">
        <v>788.02</v>
      </c>
      <c r="R516" s="37">
        <v>931.47</v>
      </c>
      <c r="S516" s="3">
        <v>54.2</v>
      </c>
      <c r="T516" s="1" t="s">
        <v>44</v>
      </c>
      <c r="U516" s="15">
        <v>1</v>
      </c>
    </row>
    <row r="517" spans="1:21" x14ac:dyDescent="0.3">
      <c r="A517" s="14" t="s">
        <v>821</v>
      </c>
      <c r="B517" s="46">
        <v>45478</v>
      </c>
      <c r="C517" s="4" t="s">
        <v>813</v>
      </c>
      <c r="D517" s="42" t="s">
        <v>1375</v>
      </c>
      <c r="E517" s="4">
        <v>2024</v>
      </c>
      <c r="F517" s="4" t="s">
        <v>29</v>
      </c>
      <c r="G517" s="61" t="s">
        <v>54</v>
      </c>
      <c r="H517" s="5" t="s">
        <v>59</v>
      </c>
      <c r="I517" s="5" t="s">
        <v>47</v>
      </c>
      <c r="J517" s="5" t="s">
        <v>822</v>
      </c>
      <c r="K517" s="4">
        <v>11</v>
      </c>
      <c r="L517" s="38">
        <v>446.14</v>
      </c>
      <c r="M517" s="6">
        <v>0</v>
      </c>
      <c r="N517" s="38">
        <v>4907.54</v>
      </c>
      <c r="O517" s="38">
        <v>0</v>
      </c>
      <c r="P517" s="54">
        <v>4907.54</v>
      </c>
      <c r="Q517" s="38">
        <v>2542.62</v>
      </c>
      <c r="R517" s="38">
        <v>2364.92</v>
      </c>
      <c r="S517" s="6">
        <v>48.2</v>
      </c>
      <c r="T517" s="4" t="s">
        <v>44</v>
      </c>
      <c r="U517" s="16">
        <v>4</v>
      </c>
    </row>
    <row r="518" spans="1:21" x14ac:dyDescent="0.3">
      <c r="A518" s="13" t="s">
        <v>823</v>
      </c>
      <c r="B518" s="45">
        <v>45478</v>
      </c>
      <c r="C518" s="1" t="s">
        <v>813</v>
      </c>
      <c r="D518" s="41" t="s">
        <v>1375</v>
      </c>
      <c r="E518" s="1">
        <v>2024</v>
      </c>
      <c r="F518" s="1" t="s">
        <v>29</v>
      </c>
      <c r="G518" s="60" t="s">
        <v>42</v>
      </c>
      <c r="H518" s="2" t="s">
        <v>59</v>
      </c>
      <c r="I518" s="2" t="s">
        <v>75</v>
      </c>
      <c r="J518" s="2" t="s">
        <v>824</v>
      </c>
      <c r="K518" s="1">
        <v>11</v>
      </c>
      <c r="L518" s="37">
        <v>313.69</v>
      </c>
      <c r="M518" s="3">
        <v>5</v>
      </c>
      <c r="N518" s="37">
        <v>3450.59</v>
      </c>
      <c r="O518" s="37">
        <v>172.53</v>
      </c>
      <c r="P518" s="53">
        <v>3278.06</v>
      </c>
      <c r="Q518" s="37">
        <v>2063.71</v>
      </c>
      <c r="R518" s="37">
        <v>1214.3499999999999</v>
      </c>
      <c r="S518" s="3">
        <v>37</v>
      </c>
      <c r="T518" s="1" t="s">
        <v>27</v>
      </c>
      <c r="U518" s="15">
        <v>5</v>
      </c>
    </row>
    <row r="519" spans="1:21" x14ac:dyDescent="0.3">
      <c r="A519" s="14" t="s">
        <v>825</v>
      </c>
      <c r="B519" s="46">
        <v>45480</v>
      </c>
      <c r="C519" s="4" t="s">
        <v>813</v>
      </c>
      <c r="D519" s="42" t="s">
        <v>1375</v>
      </c>
      <c r="E519" s="4">
        <v>2024</v>
      </c>
      <c r="F519" s="4" t="s">
        <v>29</v>
      </c>
      <c r="G519" s="61" t="s">
        <v>46</v>
      </c>
      <c r="H519" s="5" t="s">
        <v>24</v>
      </c>
      <c r="I519" s="5" t="s">
        <v>38</v>
      </c>
      <c r="J519" s="5" t="s">
        <v>443</v>
      </c>
      <c r="K519" s="4">
        <v>15</v>
      </c>
      <c r="L519" s="38">
        <v>56.77</v>
      </c>
      <c r="M519" s="6">
        <v>5</v>
      </c>
      <c r="N519" s="38">
        <v>851.55</v>
      </c>
      <c r="O519" s="38">
        <v>42.58</v>
      </c>
      <c r="P519" s="54">
        <v>808.97</v>
      </c>
      <c r="Q519" s="38">
        <v>345.68</v>
      </c>
      <c r="R519" s="38">
        <v>463.29</v>
      </c>
      <c r="S519" s="6">
        <v>57.3</v>
      </c>
      <c r="T519" s="4" t="s">
        <v>33</v>
      </c>
      <c r="U519" s="16">
        <v>5</v>
      </c>
    </row>
    <row r="520" spans="1:21" x14ac:dyDescent="0.3">
      <c r="A520" s="13" t="s">
        <v>826</v>
      </c>
      <c r="B520" s="45">
        <v>45480</v>
      </c>
      <c r="C520" s="1" t="s">
        <v>813</v>
      </c>
      <c r="D520" s="41" t="s">
        <v>1375</v>
      </c>
      <c r="E520" s="1">
        <v>2024</v>
      </c>
      <c r="F520" s="1" t="s">
        <v>53</v>
      </c>
      <c r="G520" s="60" t="s">
        <v>58</v>
      </c>
      <c r="H520" s="2" t="s">
        <v>24</v>
      </c>
      <c r="I520" s="2" t="s">
        <v>55</v>
      </c>
      <c r="J520" s="2" t="s">
        <v>202</v>
      </c>
      <c r="K520" s="1">
        <v>9</v>
      </c>
      <c r="L520" s="37">
        <v>784.52</v>
      </c>
      <c r="M520" s="3">
        <v>0</v>
      </c>
      <c r="N520" s="37">
        <v>7060.68</v>
      </c>
      <c r="O520" s="37">
        <v>0</v>
      </c>
      <c r="P520" s="53">
        <v>7060.68</v>
      </c>
      <c r="Q520" s="37">
        <v>2513.25</v>
      </c>
      <c r="R520" s="37">
        <v>4547.43</v>
      </c>
      <c r="S520" s="3">
        <v>64.400000000000006</v>
      </c>
      <c r="T520" s="1" t="s">
        <v>33</v>
      </c>
      <c r="U520" s="15">
        <v>1</v>
      </c>
    </row>
    <row r="521" spans="1:21" x14ac:dyDescent="0.3">
      <c r="A521" s="14" t="s">
        <v>827</v>
      </c>
      <c r="B521" s="46">
        <v>45481</v>
      </c>
      <c r="C521" s="4" t="s">
        <v>813</v>
      </c>
      <c r="D521" s="42" t="s">
        <v>1375</v>
      </c>
      <c r="E521" s="4">
        <v>2024</v>
      </c>
      <c r="F521" s="4" t="s">
        <v>41</v>
      </c>
      <c r="G521" s="61" t="s">
        <v>54</v>
      </c>
      <c r="H521" s="5" t="s">
        <v>24</v>
      </c>
      <c r="I521" s="5" t="s">
        <v>55</v>
      </c>
      <c r="J521" s="5" t="s">
        <v>622</v>
      </c>
      <c r="K521" s="4">
        <v>8</v>
      </c>
      <c r="L521" s="38">
        <v>1131.73</v>
      </c>
      <c r="M521" s="6">
        <v>0</v>
      </c>
      <c r="N521" s="38">
        <v>9053.84</v>
      </c>
      <c r="O521" s="38">
        <v>0</v>
      </c>
      <c r="P521" s="54">
        <v>9053.84</v>
      </c>
      <c r="Q521" s="38">
        <v>3498.14</v>
      </c>
      <c r="R521" s="38">
        <v>5555.7</v>
      </c>
      <c r="S521" s="6">
        <v>61.4</v>
      </c>
      <c r="T521" s="4" t="s">
        <v>44</v>
      </c>
      <c r="U521" s="16">
        <v>4</v>
      </c>
    </row>
    <row r="522" spans="1:21" x14ac:dyDescent="0.3">
      <c r="A522" s="13" t="s">
        <v>828</v>
      </c>
      <c r="B522" s="45">
        <v>45481</v>
      </c>
      <c r="C522" s="1" t="s">
        <v>813</v>
      </c>
      <c r="D522" s="41" t="s">
        <v>1375</v>
      </c>
      <c r="E522" s="1">
        <v>2024</v>
      </c>
      <c r="F522" s="1" t="s">
        <v>22</v>
      </c>
      <c r="G522" s="60" t="s">
        <v>36</v>
      </c>
      <c r="H522" s="2" t="s">
        <v>37</v>
      </c>
      <c r="I522" s="2" t="s">
        <v>75</v>
      </c>
      <c r="J522" s="2" t="s">
        <v>96</v>
      </c>
      <c r="K522" s="1">
        <v>3</v>
      </c>
      <c r="L522" s="37">
        <v>162.83000000000001</v>
      </c>
      <c r="M522" s="3">
        <v>0</v>
      </c>
      <c r="N522" s="37">
        <v>488.49</v>
      </c>
      <c r="O522" s="37">
        <v>0</v>
      </c>
      <c r="P522" s="53">
        <v>488.49</v>
      </c>
      <c r="Q522" s="37">
        <v>298.08</v>
      </c>
      <c r="R522" s="37">
        <v>190.41</v>
      </c>
      <c r="S522" s="3">
        <v>39</v>
      </c>
      <c r="T522" s="1" t="s">
        <v>33</v>
      </c>
      <c r="U522" s="15">
        <v>5</v>
      </c>
    </row>
    <row r="523" spans="1:21" x14ac:dyDescent="0.3">
      <c r="A523" s="14" t="s">
        <v>829</v>
      </c>
      <c r="B523" s="46">
        <v>45481</v>
      </c>
      <c r="C523" s="4" t="s">
        <v>813</v>
      </c>
      <c r="D523" s="42" t="s">
        <v>1375</v>
      </c>
      <c r="E523" s="4">
        <v>2024</v>
      </c>
      <c r="F523" s="4" t="s">
        <v>35</v>
      </c>
      <c r="G523" s="61" t="s">
        <v>54</v>
      </c>
      <c r="H523" s="5" t="s">
        <v>37</v>
      </c>
      <c r="I523" s="5" t="s">
        <v>75</v>
      </c>
      <c r="J523" s="5" t="s">
        <v>149</v>
      </c>
      <c r="K523" s="4">
        <v>7</v>
      </c>
      <c r="L523" s="38">
        <v>107.82</v>
      </c>
      <c r="M523" s="6">
        <v>15</v>
      </c>
      <c r="N523" s="38">
        <v>754.74</v>
      </c>
      <c r="O523" s="38">
        <v>113.21</v>
      </c>
      <c r="P523" s="54">
        <v>641.53</v>
      </c>
      <c r="Q523" s="38">
        <v>409.9</v>
      </c>
      <c r="R523" s="38">
        <v>231.63</v>
      </c>
      <c r="S523" s="6">
        <v>36.1</v>
      </c>
      <c r="T523" s="4" t="s">
        <v>44</v>
      </c>
      <c r="U523" s="16">
        <v>5</v>
      </c>
    </row>
    <row r="524" spans="1:21" x14ac:dyDescent="0.3">
      <c r="A524" s="13" t="s">
        <v>830</v>
      </c>
      <c r="B524" s="45">
        <v>45481</v>
      </c>
      <c r="C524" s="1" t="s">
        <v>813</v>
      </c>
      <c r="D524" s="41" t="s">
        <v>1375</v>
      </c>
      <c r="E524" s="1">
        <v>2024</v>
      </c>
      <c r="F524" s="1" t="s">
        <v>41</v>
      </c>
      <c r="G524" s="60" t="s">
        <v>23</v>
      </c>
      <c r="H524" s="2" t="s">
        <v>59</v>
      </c>
      <c r="I524" s="2" t="s">
        <v>75</v>
      </c>
      <c r="J524" s="2" t="s">
        <v>831</v>
      </c>
      <c r="K524" s="1">
        <v>5</v>
      </c>
      <c r="L524" s="37">
        <v>384.01</v>
      </c>
      <c r="M524" s="3">
        <v>0</v>
      </c>
      <c r="N524" s="37">
        <v>1920.05</v>
      </c>
      <c r="O524" s="37">
        <v>0</v>
      </c>
      <c r="P524" s="53">
        <v>1920.05</v>
      </c>
      <c r="Q524" s="37">
        <v>786.62</v>
      </c>
      <c r="R524" s="37">
        <v>1133.43</v>
      </c>
      <c r="S524" s="3">
        <v>59</v>
      </c>
      <c r="T524" s="1" t="s">
        <v>33</v>
      </c>
      <c r="U524" s="15">
        <v>1</v>
      </c>
    </row>
    <row r="525" spans="1:21" x14ac:dyDescent="0.3">
      <c r="A525" s="14" t="s">
        <v>832</v>
      </c>
      <c r="B525" s="46">
        <v>45483</v>
      </c>
      <c r="C525" s="4" t="s">
        <v>813</v>
      </c>
      <c r="D525" s="42" t="s">
        <v>1375</v>
      </c>
      <c r="E525" s="4">
        <v>2024</v>
      </c>
      <c r="F525" s="4" t="s">
        <v>53</v>
      </c>
      <c r="G525" s="61" t="s">
        <v>91</v>
      </c>
      <c r="H525" s="5" t="s">
        <v>59</v>
      </c>
      <c r="I525" s="5" t="s">
        <v>38</v>
      </c>
      <c r="J525" s="5" t="s">
        <v>391</v>
      </c>
      <c r="K525" s="4">
        <v>19</v>
      </c>
      <c r="L525" s="38">
        <v>40.86</v>
      </c>
      <c r="M525" s="6">
        <v>0</v>
      </c>
      <c r="N525" s="38">
        <v>776.34</v>
      </c>
      <c r="O525" s="38">
        <v>0</v>
      </c>
      <c r="P525" s="54">
        <v>776.34</v>
      </c>
      <c r="Q525" s="38">
        <v>405.85</v>
      </c>
      <c r="R525" s="38">
        <v>370.49</v>
      </c>
      <c r="S525" s="6">
        <v>47.7</v>
      </c>
      <c r="T525" s="4" t="s">
        <v>27</v>
      </c>
      <c r="U525" s="16">
        <v>3</v>
      </c>
    </row>
    <row r="526" spans="1:21" x14ac:dyDescent="0.3">
      <c r="A526" s="13" t="s">
        <v>833</v>
      </c>
      <c r="B526" s="45">
        <v>45483</v>
      </c>
      <c r="C526" s="1" t="s">
        <v>813</v>
      </c>
      <c r="D526" s="41" t="s">
        <v>1375</v>
      </c>
      <c r="E526" s="1">
        <v>2024</v>
      </c>
      <c r="F526" s="1" t="s">
        <v>22</v>
      </c>
      <c r="G526" s="60" t="s">
        <v>42</v>
      </c>
      <c r="H526" s="2" t="s">
        <v>24</v>
      </c>
      <c r="I526" s="2" t="s">
        <v>55</v>
      </c>
      <c r="J526" s="2" t="s">
        <v>197</v>
      </c>
      <c r="K526" s="1">
        <v>4</v>
      </c>
      <c r="L526" s="37">
        <v>573.23</v>
      </c>
      <c r="M526" s="3">
        <v>15</v>
      </c>
      <c r="N526" s="37">
        <v>2292.92</v>
      </c>
      <c r="O526" s="37">
        <v>343.94</v>
      </c>
      <c r="P526" s="53">
        <v>1948.98</v>
      </c>
      <c r="Q526" s="37">
        <v>1061.69</v>
      </c>
      <c r="R526" s="37">
        <v>887.29</v>
      </c>
      <c r="S526" s="3">
        <v>45.5</v>
      </c>
      <c r="T526" s="1" t="s">
        <v>44</v>
      </c>
      <c r="U526" s="15">
        <v>4</v>
      </c>
    </row>
    <row r="527" spans="1:21" x14ac:dyDescent="0.3">
      <c r="A527" s="14" t="s">
        <v>834</v>
      </c>
      <c r="B527" s="46">
        <v>45484</v>
      </c>
      <c r="C527" s="4" t="s">
        <v>813</v>
      </c>
      <c r="D527" s="42" t="s">
        <v>1375</v>
      </c>
      <c r="E527" s="4">
        <v>2024</v>
      </c>
      <c r="F527" s="4" t="s">
        <v>35</v>
      </c>
      <c r="G527" s="61" t="s">
        <v>46</v>
      </c>
      <c r="H527" s="5" t="s">
        <v>50</v>
      </c>
      <c r="I527" s="5" t="s">
        <v>75</v>
      </c>
      <c r="J527" s="5" t="s">
        <v>76</v>
      </c>
      <c r="K527" s="4">
        <v>5</v>
      </c>
      <c r="L527" s="38">
        <v>395.81</v>
      </c>
      <c r="M527" s="6">
        <v>20</v>
      </c>
      <c r="N527" s="38">
        <v>1979.05</v>
      </c>
      <c r="O527" s="38">
        <v>395.81</v>
      </c>
      <c r="P527" s="54">
        <v>1583.24</v>
      </c>
      <c r="Q527" s="38">
        <v>637.04</v>
      </c>
      <c r="R527" s="38">
        <v>946.2</v>
      </c>
      <c r="S527" s="6">
        <v>59.8</v>
      </c>
      <c r="T527" s="4" t="s">
        <v>44</v>
      </c>
      <c r="U527" s="16">
        <v>2</v>
      </c>
    </row>
    <row r="528" spans="1:21" x14ac:dyDescent="0.3">
      <c r="A528" s="13" t="s">
        <v>835</v>
      </c>
      <c r="B528" s="45">
        <v>45485</v>
      </c>
      <c r="C528" s="1" t="s">
        <v>813</v>
      </c>
      <c r="D528" s="41" t="s">
        <v>1375</v>
      </c>
      <c r="E528" s="1">
        <v>2024</v>
      </c>
      <c r="F528" s="1" t="s">
        <v>22</v>
      </c>
      <c r="G528" s="60" t="s">
        <v>66</v>
      </c>
      <c r="H528" s="2" t="s">
        <v>59</v>
      </c>
      <c r="I528" s="2" t="s">
        <v>38</v>
      </c>
      <c r="J528" s="2" t="s">
        <v>836</v>
      </c>
      <c r="K528" s="1">
        <v>4</v>
      </c>
      <c r="L528" s="37">
        <v>33.020000000000003</v>
      </c>
      <c r="M528" s="3">
        <v>15</v>
      </c>
      <c r="N528" s="37">
        <v>132.08000000000001</v>
      </c>
      <c r="O528" s="37">
        <v>19.809999999999999</v>
      </c>
      <c r="P528" s="53">
        <v>112.27</v>
      </c>
      <c r="Q528" s="37">
        <v>65.58</v>
      </c>
      <c r="R528" s="37">
        <v>46.69</v>
      </c>
      <c r="S528" s="3">
        <v>41.6</v>
      </c>
      <c r="T528" s="1" t="s">
        <v>33</v>
      </c>
      <c r="U528" s="15">
        <v>2</v>
      </c>
    </row>
    <row r="529" spans="1:21" x14ac:dyDescent="0.3">
      <c r="A529" s="14" t="s">
        <v>837</v>
      </c>
      <c r="B529" s="46">
        <v>45486</v>
      </c>
      <c r="C529" s="4" t="s">
        <v>813</v>
      </c>
      <c r="D529" s="42" t="s">
        <v>1375</v>
      </c>
      <c r="E529" s="4">
        <v>2024</v>
      </c>
      <c r="F529" s="4" t="s">
        <v>35</v>
      </c>
      <c r="G529" s="61" t="s">
        <v>91</v>
      </c>
      <c r="H529" s="5" t="s">
        <v>37</v>
      </c>
      <c r="I529" s="5" t="s">
        <v>75</v>
      </c>
      <c r="J529" s="5" t="s">
        <v>160</v>
      </c>
      <c r="K529" s="4">
        <v>6</v>
      </c>
      <c r="L529" s="38">
        <v>288.23</v>
      </c>
      <c r="M529" s="6">
        <v>10</v>
      </c>
      <c r="N529" s="38">
        <v>1729.38</v>
      </c>
      <c r="O529" s="38">
        <v>172.94</v>
      </c>
      <c r="P529" s="54">
        <v>1556.44</v>
      </c>
      <c r="Q529" s="38">
        <v>710.57</v>
      </c>
      <c r="R529" s="38">
        <v>845.87</v>
      </c>
      <c r="S529" s="6">
        <v>54.3</v>
      </c>
      <c r="T529" s="4" t="s">
        <v>27</v>
      </c>
      <c r="U529" s="16">
        <v>4</v>
      </c>
    </row>
    <row r="530" spans="1:21" x14ac:dyDescent="0.3">
      <c r="A530" s="13" t="s">
        <v>838</v>
      </c>
      <c r="B530" s="45">
        <v>45486</v>
      </c>
      <c r="C530" s="1" t="s">
        <v>813</v>
      </c>
      <c r="D530" s="41" t="s">
        <v>1375</v>
      </c>
      <c r="E530" s="1">
        <v>2024</v>
      </c>
      <c r="F530" s="1" t="s">
        <v>29</v>
      </c>
      <c r="G530" s="60" t="s">
        <v>58</v>
      </c>
      <c r="H530" s="2" t="s">
        <v>59</v>
      </c>
      <c r="I530" s="2" t="s">
        <v>55</v>
      </c>
      <c r="J530" s="2" t="s">
        <v>839</v>
      </c>
      <c r="K530" s="1">
        <v>15</v>
      </c>
      <c r="L530" s="37">
        <v>1099.72</v>
      </c>
      <c r="M530" s="3">
        <v>20</v>
      </c>
      <c r="N530" s="37">
        <v>16495.8</v>
      </c>
      <c r="O530" s="37">
        <v>3299.16</v>
      </c>
      <c r="P530" s="53">
        <v>13196.64</v>
      </c>
      <c r="Q530" s="37">
        <v>7283.99</v>
      </c>
      <c r="R530" s="37">
        <v>5912.65</v>
      </c>
      <c r="S530" s="3">
        <v>44.8</v>
      </c>
      <c r="T530" s="1" t="s">
        <v>44</v>
      </c>
      <c r="U530" s="15">
        <v>5</v>
      </c>
    </row>
    <row r="531" spans="1:21" x14ac:dyDescent="0.3">
      <c r="A531" s="14" t="s">
        <v>840</v>
      </c>
      <c r="B531" s="46">
        <v>45486</v>
      </c>
      <c r="C531" s="4" t="s">
        <v>813</v>
      </c>
      <c r="D531" s="42" t="s">
        <v>1375</v>
      </c>
      <c r="E531" s="4">
        <v>2024</v>
      </c>
      <c r="F531" s="4" t="s">
        <v>35</v>
      </c>
      <c r="G531" s="61" t="s">
        <v>91</v>
      </c>
      <c r="H531" s="5" t="s">
        <v>37</v>
      </c>
      <c r="I531" s="5" t="s">
        <v>55</v>
      </c>
      <c r="J531" s="5" t="s">
        <v>428</v>
      </c>
      <c r="K531" s="4">
        <v>15</v>
      </c>
      <c r="L531" s="38">
        <v>920.95</v>
      </c>
      <c r="M531" s="6">
        <v>15</v>
      </c>
      <c r="N531" s="38">
        <v>13814.25</v>
      </c>
      <c r="O531" s="38">
        <v>2072.14</v>
      </c>
      <c r="P531" s="54">
        <v>11742.11</v>
      </c>
      <c r="Q531" s="38">
        <v>5827</v>
      </c>
      <c r="R531" s="38">
        <v>5915.11</v>
      </c>
      <c r="S531" s="6">
        <v>50.4</v>
      </c>
      <c r="T531" s="4" t="s">
        <v>44</v>
      </c>
      <c r="U531" s="16">
        <v>4</v>
      </c>
    </row>
    <row r="532" spans="1:21" x14ac:dyDescent="0.3">
      <c r="A532" s="13" t="s">
        <v>841</v>
      </c>
      <c r="B532" s="45">
        <v>45486</v>
      </c>
      <c r="C532" s="1" t="s">
        <v>813</v>
      </c>
      <c r="D532" s="41" t="s">
        <v>1375</v>
      </c>
      <c r="E532" s="1">
        <v>2024</v>
      </c>
      <c r="F532" s="1" t="s">
        <v>35</v>
      </c>
      <c r="G532" s="60" t="s">
        <v>46</v>
      </c>
      <c r="H532" s="2" t="s">
        <v>50</v>
      </c>
      <c r="I532" s="2" t="s">
        <v>47</v>
      </c>
      <c r="J532" s="2" t="s">
        <v>353</v>
      </c>
      <c r="K532" s="1">
        <v>11</v>
      </c>
      <c r="L532" s="37">
        <v>404.96</v>
      </c>
      <c r="M532" s="3">
        <v>10</v>
      </c>
      <c r="N532" s="37">
        <v>4454.5600000000004</v>
      </c>
      <c r="O532" s="37">
        <v>445.46</v>
      </c>
      <c r="P532" s="53">
        <v>4009.1</v>
      </c>
      <c r="Q532" s="37">
        <v>2289.0300000000002</v>
      </c>
      <c r="R532" s="37">
        <v>1720.07</v>
      </c>
      <c r="S532" s="3">
        <v>42.9</v>
      </c>
      <c r="T532" s="1" t="s">
        <v>44</v>
      </c>
      <c r="U532" s="15">
        <v>1</v>
      </c>
    </row>
    <row r="533" spans="1:21" x14ac:dyDescent="0.3">
      <c r="A533" s="14" t="s">
        <v>842</v>
      </c>
      <c r="B533" s="46">
        <v>45486</v>
      </c>
      <c r="C533" s="4" t="s">
        <v>813</v>
      </c>
      <c r="D533" s="42" t="s">
        <v>1375</v>
      </c>
      <c r="E533" s="4">
        <v>2024</v>
      </c>
      <c r="F533" s="4" t="s">
        <v>53</v>
      </c>
      <c r="G533" s="61" t="s">
        <v>42</v>
      </c>
      <c r="H533" s="5" t="s">
        <v>24</v>
      </c>
      <c r="I533" s="5" t="s">
        <v>25</v>
      </c>
      <c r="J533" s="5" t="s">
        <v>92</v>
      </c>
      <c r="K533" s="4">
        <v>14</v>
      </c>
      <c r="L533" s="38">
        <v>125.58</v>
      </c>
      <c r="M533" s="6">
        <v>15</v>
      </c>
      <c r="N533" s="38">
        <v>1758.12</v>
      </c>
      <c r="O533" s="38">
        <v>263.72000000000003</v>
      </c>
      <c r="P533" s="54">
        <v>1494.4</v>
      </c>
      <c r="Q533" s="38">
        <v>921.88</v>
      </c>
      <c r="R533" s="38">
        <v>572.52</v>
      </c>
      <c r="S533" s="6">
        <v>38.299999999999997</v>
      </c>
      <c r="T533" s="4" t="s">
        <v>44</v>
      </c>
      <c r="U533" s="16">
        <v>2</v>
      </c>
    </row>
    <row r="534" spans="1:21" x14ac:dyDescent="0.3">
      <c r="A534" s="13" t="s">
        <v>843</v>
      </c>
      <c r="B534" s="45">
        <v>45486</v>
      </c>
      <c r="C534" s="1" t="s">
        <v>813</v>
      </c>
      <c r="D534" s="41" t="s">
        <v>1375</v>
      </c>
      <c r="E534" s="1">
        <v>2024</v>
      </c>
      <c r="F534" s="1" t="s">
        <v>53</v>
      </c>
      <c r="G534" s="60" t="s">
        <v>46</v>
      </c>
      <c r="H534" s="2" t="s">
        <v>24</v>
      </c>
      <c r="I534" s="2" t="s">
        <v>31</v>
      </c>
      <c r="J534" s="2" t="s">
        <v>342</v>
      </c>
      <c r="K534" s="1">
        <v>4</v>
      </c>
      <c r="L534" s="37">
        <v>155.94</v>
      </c>
      <c r="M534" s="3">
        <v>10</v>
      </c>
      <c r="N534" s="37">
        <v>623.76</v>
      </c>
      <c r="O534" s="37">
        <v>62.38</v>
      </c>
      <c r="P534" s="53">
        <v>561.38</v>
      </c>
      <c r="Q534" s="37">
        <v>260.66000000000003</v>
      </c>
      <c r="R534" s="37">
        <v>300.72000000000003</v>
      </c>
      <c r="S534" s="3">
        <v>53.6</v>
      </c>
      <c r="T534" s="1" t="s">
        <v>33</v>
      </c>
      <c r="U534" s="15">
        <v>4</v>
      </c>
    </row>
    <row r="535" spans="1:21" x14ac:dyDescent="0.3">
      <c r="A535" s="14" t="s">
        <v>844</v>
      </c>
      <c r="B535" s="46">
        <v>45486</v>
      </c>
      <c r="C535" s="4" t="s">
        <v>813</v>
      </c>
      <c r="D535" s="42" t="s">
        <v>1375</v>
      </c>
      <c r="E535" s="4">
        <v>2024</v>
      </c>
      <c r="F535" s="4" t="s">
        <v>53</v>
      </c>
      <c r="G535" s="61" t="s">
        <v>36</v>
      </c>
      <c r="H535" s="5" t="s">
        <v>24</v>
      </c>
      <c r="I535" s="5" t="s">
        <v>55</v>
      </c>
      <c r="J535" s="5" t="s">
        <v>223</v>
      </c>
      <c r="K535" s="4">
        <v>18</v>
      </c>
      <c r="L535" s="38">
        <v>832.39</v>
      </c>
      <c r="M535" s="6">
        <v>0</v>
      </c>
      <c r="N535" s="38">
        <v>14983.02</v>
      </c>
      <c r="O535" s="38">
        <v>0</v>
      </c>
      <c r="P535" s="54">
        <v>14983.02</v>
      </c>
      <c r="Q535" s="38">
        <v>6531.95</v>
      </c>
      <c r="R535" s="38">
        <v>8451.07</v>
      </c>
      <c r="S535" s="6">
        <v>56.4</v>
      </c>
      <c r="T535" s="4" t="s">
        <v>44</v>
      </c>
      <c r="U535" s="16">
        <v>1</v>
      </c>
    </row>
    <row r="536" spans="1:21" x14ac:dyDescent="0.3">
      <c r="A536" s="13" t="s">
        <v>845</v>
      </c>
      <c r="B536" s="45">
        <v>45486</v>
      </c>
      <c r="C536" s="1" t="s">
        <v>813</v>
      </c>
      <c r="D536" s="41" t="s">
        <v>1375</v>
      </c>
      <c r="E536" s="1">
        <v>2024</v>
      </c>
      <c r="F536" s="1" t="s">
        <v>41</v>
      </c>
      <c r="G536" s="60" t="s">
        <v>66</v>
      </c>
      <c r="H536" s="2" t="s">
        <v>59</v>
      </c>
      <c r="I536" s="2" t="s">
        <v>31</v>
      </c>
      <c r="J536" s="2" t="s">
        <v>245</v>
      </c>
      <c r="K536" s="1">
        <v>12</v>
      </c>
      <c r="L536" s="37">
        <v>125.23</v>
      </c>
      <c r="M536" s="3">
        <v>15</v>
      </c>
      <c r="N536" s="37">
        <v>1502.76</v>
      </c>
      <c r="O536" s="37">
        <v>225.41</v>
      </c>
      <c r="P536" s="53">
        <v>1277.3499999999999</v>
      </c>
      <c r="Q536" s="37">
        <v>689.15</v>
      </c>
      <c r="R536" s="37">
        <v>588.20000000000005</v>
      </c>
      <c r="S536" s="3">
        <v>46</v>
      </c>
      <c r="T536" s="1" t="s">
        <v>44</v>
      </c>
      <c r="U536" s="15">
        <v>3</v>
      </c>
    </row>
    <row r="537" spans="1:21" x14ac:dyDescent="0.3">
      <c r="A537" s="14" t="s">
        <v>846</v>
      </c>
      <c r="B537" s="46">
        <v>45486</v>
      </c>
      <c r="C537" s="4" t="s">
        <v>813</v>
      </c>
      <c r="D537" s="42" t="s">
        <v>1375</v>
      </c>
      <c r="E537" s="4">
        <v>2024</v>
      </c>
      <c r="F537" s="4" t="s">
        <v>29</v>
      </c>
      <c r="G537" s="61" t="s">
        <v>66</v>
      </c>
      <c r="H537" s="5" t="s">
        <v>24</v>
      </c>
      <c r="I537" s="5" t="s">
        <v>47</v>
      </c>
      <c r="J537" s="5" t="s">
        <v>73</v>
      </c>
      <c r="K537" s="4">
        <v>7</v>
      </c>
      <c r="L537" s="38">
        <v>397.94</v>
      </c>
      <c r="M537" s="6">
        <v>20</v>
      </c>
      <c r="N537" s="38">
        <v>2785.58</v>
      </c>
      <c r="O537" s="38">
        <v>557.12</v>
      </c>
      <c r="P537" s="54">
        <v>2228.46</v>
      </c>
      <c r="Q537" s="38">
        <v>876.8</v>
      </c>
      <c r="R537" s="38">
        <v>1351.66</v>
      </c>
      <c r="S537" s="6">
        <v>60.7</v>
      </c>
      <c r="T537" s="4" t="s">
        <v>44</v>
      </c>
      <c r="U537" s="16">
        <v>4</v>
      </c>
    </row>
    <row r="538" spans="1:21" x14ac:dyDescent="0.3">
      <c r="A538" s="13" t="s">
        <v>847</v>
      </c>
      <c r="B538" s="45">
        <v>45486</v>
      </c>
      <c r="C538" s="1" t="s">
        <v>813</v>
      </c>
      <c r="D538" s="41" t="s">
        <v>1375</v>
      </c>
      <c r="E538" s="1">
        <v>2024</v>
      </c>
      <c r="F538" s="1" t="s">
        <v>29</v>
      </c>
      <c r="G538" s="60" t="s">
        <v>54</v>
      </c>
      <c r="H538" s="2" t="s">
        <v>37</v>
      </c>
      <c r="I538" s="2" t="s">
        <v>25</v>
      </c>
      <c r="J538" s="2" t="s">
        <v>848</v>
      </c>
      <c r="K538" s="1">
        <v>15</v>
      </c>
      <c r="L538" s="37">
        <v>83.57</v>
      </c>
      <c r="M538" s="3">
        <v>0</v>
      </c>
      <c r="N538" s="37">
        <v>1253.55</v>
      </c>
      <c r="O538" s="37">
        <v>0</v>
      </c>
      <c r="P538" s="53">
        <v>1253.55</v>
      </c>
      <c r="Q538" s="37">
        <v>501.76</v>
      </c>
      <c r="R538" s="37">
        <v>751.79</v>
      </c>
      <c r="S538" s="3">
        <v>60</v>
      </c>
      <c r="T538" s="1" t="s">
        <v>44</v>
      </c>
      <c r="U538" s="15">
        <v>4</v>
      </c>
    </row>
    <row r="539" spans="1:21" x14ac:dyDescent="0.3">
      <c r="A539" s="14" t="s">
        <v>849</v>
      </c>
      <c r="B539" s="46">
        <v>45487</v>
      </c>
      <c r="C539" s="4" t="s">
        <v>813</v>
      </c>
      <c r="D539" s="42" t="s">
        <v>1375</v>
      </c>
      <c r="E539" s="4">
        <v>2024</v>
      </c>
      <c r="F539" s="4" t="s">
        <v>35</v>
      </c>
      <c r="G539" s="61" t="s">
        <v>91</v>
      </c>
      <c r="H539" s="5" t="s">
        <v>59</v>
      </c>
      <c r="I539" s="5" t="s">
        <v>38</v>
      </c>
      <c r="J539" s="5" t="s">
        <v>344</v>
      </c>
      <c r="K539" s="4">
        <v>10</v>
      </c>
      <c r="L539" s="38">
        <v>44.61</v>
      </c>
      <c r="M539" s="6">
        <v>10</v>
      </c>
      <c r="N539" s="38">
        <v>446.1</v>
      </c>
      <c r="O539" s="38">
        <v>44.61</v>
      </c>
      <c r="P539" s="54">
        <v>401.49</v>
      </c>
      <c r="Q539" s="38">
        <v>237.81</v>
      </c>
      <c r="R539" s="38">
        <v>163.68</v>
      </c>
      <c r="S539" s="6">
        <v>40.799999999999997</v>
      </c>
      <c r="T539" s="4" t="s">
        <v>44</v>
      </c>
      <c r="U539" s="16">
        <v>4</v>
      </c>
    </row>
    <row r="540" spans="1:21" x14ac:dyDescent="0.3">
      <c r="A540" s="13" t="s">
        <v>850</v>
      </c>
      <c r="B540" s="45">
        <v>45487</v>
      </c>
      <c r="C540" s="1" t="s">
        <v>813</v>
      </c>
      <c r="D540" s="41" t="s">
        <v>1375</v>
      </c>
      <c r="E540" s="1">
        <v>2024</v>
      </c>
      <c r="F540" s="1" t="s">
        <v>53</v>
      </c>
      <c r="G540" s="60" t="s">
        <v>91</v>
      </c>
      <c r="H540" s="2" t="s">
        <v>59</v>
      </c>
      <c r="I540" s="2" t="s">
        <v>25</v>
      </c>
      <c r="J540" s="2" t="s">
        <v>243</v>
      </c>
      <c r="K540" s="1">
        <v>15</v>
      </c>
      <c r="L540" s="37">
        <v>60.65</v>
      </c>
      <c r="M540" s="3">
        <v>10</v>
      </c>
      <c r="N540" s="37">
        <v>909.75</v>
      </c>
      <c r="O540" s="37">
        <v>90.98</v>
      </c>
      <c r="P540" s="53">
        <v>818.77</v>
      </c>
      <c r="Q540" s="37">
        <v>369.44</v>
      </c>
      <c r="R540" s="37">
        <v>449.33</v>
      </c>
      <c r="S540" s="3">
        <v>54.9</v>
      </c>
      <c r="T540" s="1" t="s">
        <v>44</v>
      </c>
      <c r="U540" s="15">
        <v>1</v>
      </c>
    </row>
    <row r="541" spans="1:21" x14ac:dyDescent="0.3">
      <c r="A541" s="14" t="s">
        <v>851</v>
      </c>
      <c r="B541" s="46">
        <v>45488</v>
      </c>
      <c r="C541" s="4" t="s">
        <v>813</v>
      </c>
      <c r="D541" s="42" t="s">
        <v>1375</v>
      </c>
      <c r="E541" s="4">
        <v>2024</v>
      </c>
      <c r="F541" s="4" t="s">
        <v>29</v>
      </c>
      <c r="G541" s="61" t="s">
        <v>46</v>
      </c>
      <c r="H541" s="5" t="s">
        <v>50</v>
      </c>
      <c r="I541" s="5" t="s">
        <v>25</v>
      </c>
      <c r="J541" s="5" t="s">
        <v>702</v>
      </c>
      <c r="K541" s="4">
        <v>9</v>
      </c>
      <c r="L541" s="38">
        <v>138.41</v>
      </c>
      <c r="M541" s="6">
        <v>15</v>
      </c>
      <c r="N541" s="38">
        <v>1245.69</v>
      </c>
      <c r="O541" s="38">
        <v>186.85</v>
      </c>
      <c r="P541" s="54">
        <v>1058.8399999999999</v>
      </c>
      <c r="Q541" s="38">
        <v>571.12</v>
      </c>
      <c r="R541" s="38">
        <v>487.72</v>
      </c>
      <c r="S541" s="6">
        <v>46.1</v>
      </c>
      <c r="T541" s="4" t="s">
        <v>44</v>
      </c>
      <c r="U541" s="16">
        <v>3</v>
      </c>
    </row>
    <row r="542" spans="1:21" x14ac:dyDescent="0.3">
      <c r="A542" s="13" t="s">
        <v>852</v>
      </c>
      <c r="B542" s="45">
        <v>45488</v>
      </c>
      <c r="C542" s="1" t="s">
        <v>813</v>
      </c>
      <c r="D542" s="41" t="s">
        <v>1375</v>
      </c>
      <c r="E542" s="1">
        <v>2024</v>
      </c>
      <c r="F542" s="1" t="s">
        <v>29</v>
      </c>
      <c r="G542" s="60" t="s">
        <v>30</v>
      </c>
      <c r="H542" s="2" t="s">
        <v>50</v>
      </c>
      <c r="I542" s="2" t="s">
        <v>38</v>
      </c>
      <c r="J542" s="2" t="s">
        <v>107</v>
      </c>
      <c r="K542" s="1">
        <v>4</v>
      </c>
      <c r="L542" s="37">
        <v>13.42</v>
      </c>
      <c r="M542" s="3">
        <v>15</v>
      </c>
      <c r="N542" s="37">
        <v>53.68</v>
      </c>
      <c r="O542" s="37">
        <v>8.0500000000000007</v>
      </c>
      <c r="P542" s="53">
        <v>45.63</v>
      </c>
      <c r="Q542" s="37">
        <v>23.8</v>
      </c>
      <c r="R542" s="37">
        <v>21.83</v>
      </c>
      <c r="S542" s="3">
        <v>47.8</v>
      </c>
      <c r="T542" s="1" t="s">
        <v>27</v>
      </c>
      <c r="U542" s="15">
        <v>2</v>
      </c>
    </row>
    <row r="543" spans="1:21" x14ac:dyDescent="0.3">
      <c r="A543" s="14" t="s">
        <v>853</v>
      </c>
      <c r="B543" s="46">
        <v>45489</v>
      </c>
      <c r="C543" s="4" t="s">
        <v>813</v>
      </c>
      <c r="D543" s="42" t="s">
        <v>1375</v>
      </c>
      <c r="E543" s="4">
        <v>2024</v>
      </c>
      <c r="F543" s="4" t="s">
        <v>35</v>
      </c>
      <c r="G543" s="61" t="s">
        <v>91</v>
      </c>
      <c r="H543" s="5" t="s">
        <v>59</v>
      </c>
      <c r="I543" s="5" t="s">
        <v>47</v>
      </c>
      <c r="J543" s="5" t="s">
        <v>495</v>
      </c>
      <c r="K543" s="4">
        <v>3</v>
      </c>
      <c r="L543" s="38">
        <v>417.81</v>
      </c>
      <c r="M543" s="6">
        <v>10</v>
      </c>
      <c r="N543" s="38">
        <v>1253.43</v>
      </c>
      <c r="O543" s="38">
        <v>125.34</v>
      </c>
      <c r="P543" s="54">
        <v>1128.0899999999999</v>
      </c>
      <c r="Q543" s="38">
        <v>682.12</v>
      </c>
      <c r="R543" s="38">
        <v>445.97</v>
      </c>
      <c r="S543" s="6">
        <v>39.5</v>
      </c>
      <c r="T543" s="4" t="s">
        <v>44</v>
      </c>
      <c r="U543" s="16">
        <v>5</v>
      </c>
    </row>
    <row r="544" spans="1:21" x14ac:dyDescent="0.3">
      <c r="A544" s="13" t="s">
        <v>854</v>
      </c>
      <c r="B544" s="45">
        <v>45489</v>
      </c>
      <c r="C544" s="1" t="s">
        <v>813</v>
      </c>
      <c r="D544" s="41" t="s">
        <v>1375</v>
      </c>
      <c r="E544" s="1">
        <v>2024</v>
      </c>
      <c r="F544" s="1" t="s">
        <v>35</v>
      </c>
      <c r="G544" s="60" t="s">
        <v>23</v>
      </c>
      <c r="H544" s="2" t="s">
        <v>59</v>
      </c>
      <c r="I544" s="2" t="s">
        <v>75</v>
      </c>
      <c r="J544" s="2" t="s">
        <v>831</v>
      </c>
      <c r="K544" s="1">
        <v>6</v>
      </c>
      <c r="L544" s="37">
        <v>363.58</v>
      </c>
      <c r="M544" s="3">
        <v>0</v>
      </c>
      <c r="N544" s="37">
        <v>2181.48</v>
      </c>
      <c r="O544" s="37">
        <v>0</v>
      </c>
      <c r="P544" s="53">
        <v>2181.48</v>
      </c>
      <c r="Q544" s="37">
        <v>810.21</v>
      </c>
      <c r="R544" s="37">
        <v>1371.27</v>
      </c>
      <c r="S544" s="3">
        <v>62.9</v>
      </c>
      <c r="T544" s="1" t="s">
        <v>44</v>
      </c>
      <c r="U544" s="15">
        <v>3</v>
      </c>
    </row>
    <row r="545" spans="1:21" x14ac:dyDescent="0.3">
      <c r="A545" s="14" t="s">
        <v>855</v>
      </c>
      <c r="B545" s="46">
        <v>45491</v>
      </c>
      <c r="C545" s="4" t="s">
        <v>813</v>
      </c>
      <c r="D545" s="42" t="s">
        <v>1375</v>
      </c>
      <c r="E545" s="4">
        <v>2024</v>
      </c>
      <c r="F545" s="4" t="s">
        <v>22</v>
      </c>
      <c r="G545" s="61" t="s">
        <v>54</v>
      </c>
      <c r="H545" s="5" t="s">
        <v>59</v>
      </c>
      <c r="I545" s="5" t="s">
        <v>25</v>
      </c>
      <c r="J545" s="5" t="s">
        <v>414</v>
      </c>
      <c r="K545" s="4">
        <v>10</v>
      </c>
      <c r="L545" s="38">
        <v>38.299999999999997</v>
      </c>
      <c r="M545" s="6">
        <v>5</v>
      </c>
      <c r="N545" s="38">
        <v>383</v>
      </c>
      <c r="O545" s="38">
        <v>19.149999999999999</v>
      </c>
      <c r="P545" s="54">
        <v>363.85</v>
      </c>
      <c r="Q545" s="38">
        <v>145.03</v>
      </c>
      <c r="R545" s="38">
        <v>218.82</v>
      </c>
      <c r="S545" s="6">
        <v>60.1</v>
      </c>
      <c r="T545" s="4" t="s">
        <v>44</v>
      </c>
      <c r="U545" s="16">
        <v>3</v>
      </c>
    </row>
    <row r="546" spans="1:21" x14ac:dyDescent="0.3">
      <c r="A546" s="13" t="s">
        <v>856</v>
      </c>
      <c r="B546" s="45">
        <v>45491</v>
      </c>
      <c r="C546" s="1" t="s">
        <v>813</v>
      </c>
      <c r="D546" s="41" t="s">
        <v>1375</v>
      </c>
      <c r="E546" s="1">
        <v>2024</v>
      </c>
      <c r="F546" s="1" t="s">
        <v>22</v>
      </c>
      <c r="G546" s="60" t="s">
        <v>46</v>
      </c>
      <c r="H546" s="2" t="s">
        <v>59</v>
      </c>
      <c r="I546" s="2" t="s">
        <v>25</v>
      </c>
      <c r="J546" s="2" t="s">
        <v>216</v>
      </c>
      <c r="K546" s="1">
        <v>20</v>
      </c>
      <c r="L546" s="37">
        <v>85.13</v>
      </c>
      <c r="M546" s="3">
        <v>15</v>
      </c>
      <c r="N546" s="37">
        <v>1702.6</v>
      </c>
      <c r="O546" s="37">
        <v>255.39</v>
      </c>
      <c r="P546" s="53">
        <v>1447.21</v>
      </c>
      <c r="Q546" s="37">
        <v>605.61</v>
      </c>
      <c r="R546" s="37">
        <v>841.6</v>
      </c>
      <c r="S546" s="3">
        <v>58.2</v>
      </c>
      <c r="T546" s="1" t="s">
        <v>27</v>
      </c>
      <c r="U546" s="15">
        <v>3</v>
      </c>
    </row>
    <row r="547" spans="1:21" x14ac:dyDescent="0.3">
      <c r="A547" s="14" t="s">
        <v>857</v>
      </c>
      <c r="B547" s="46">
        <v>45491</v>
      </c>
      <c r="C547" s="4" t="s">
        <v>813</v>
      </c>
      <c r="D547" s="42" t="s">
        <v>1375</v>
      </c>
      <c r="E547" s="4">
        <v>2024</v>
      </c>
      <c r="F547" s="4" t="s">
        <v>35</v>
      </c>
      <c r="G547" s="61" t="s">
        <v>36</v>
      </c>
      <c r="H547" s="5" t="s">
        <v>59</v>
      </c>
      <c r="I547" s="5" t="s">
        <v>47</v>
      </c>
      <c r="J547" s="5" t="s">
        <v>730</v>
      </c>
      <c r="K547" s="4">
        <v>2</v>
      </c>
      <c r="L547" s="38">
        <v>98.98</v>
      </c>
      <c r="M547" s="6">
        <v>15</v>
      </c>
      <c r="N547" s="38">
        <v>197.96</v>
      </c>
      <c r="O547" s="38">
        <v>29.69</v>
      </c>
      <c r="P547" s="54">
        <v>168.27</v>
      </c>
      <c r="Q547" s="38">
        <v>74.89</v>
      </c>
      <c r="R547" s="38">
        <v>93.38</v>
      </c>
      <c r="S547" s="6">
        <v>55.5</v>
      </c>
      <c r="T547" s="4" t="s">
        <v>33</v>
      </c>
      <c r="U547" s="16">
        <v>3</v>
      </c>
    </row>
    <row r="548" spans="1:21" x14ac:dyDescent="0.3">
      <c r="A548" s="13" t="s">
        <v>858</v>
      </c>
      <c r="B548" s="45">
        <v>45491</v>
      </c>
      <c r="C548" s="1" t="s">
        <v>813</v>
      </c>
      <c r="D548" s="41" t="s">
        <v>1375</v>
      </c>
      <c r="E548" s="1">
        <v>2024</v>
      </c>
      <c r="F548" s="1" t="s">
        <v>22</v>
      </c>
      <c r="G548" s="60" t="s">
        <v>66</v>
      </c>
      <c r="H548" s="2" t="s">
        <v>37</v>
      </c>
      <c r="I548" s="2" t="s">
        <v>75</v>
      </c>
      <c r="J548" s="2" t="s">
        <v>481</v>
      </c>
      <c r="K548" s="1">
        <v>7</v>
      </c>
      <c r="L548" s="37">
        <v>345.43</v>
      </c>
      <c r="M548" s="3">
        <v>0</v>
      </c>
      <c r="N548" s="37">
        <v>2418.0100000000002</v>
      </c>
      <c r="O548" s="37">
        <v>0</v>
      </c>
      <c r="P548" s="53">
        <v>2418.0100000000002</v>
      </c>
      <c r="Q548" s="37">
        <v>1057.6500000000001</v>
      </c>
      <c r="R548" s="37">
        <v>1360.36</v>
      </c>
      <c r="S548" s="3">
        <v>56.3</v>
      </c>
      <c r="T548" s="1" t="s">
        <v>44</v>
      </c>
      <c r="U548" s="15">
        <v>4</v>
      </c>
    </row>
    <row r="549" spans="1:21" x14ac:dyDescent="0.3">
      <c r="A549" s="14" t="s">
        <v>859</v>
      </c>
      <c r="B549" s="46">
        <v>45493</v>
      </c>
      <c r="C549" s="4" t="s">
        <v>813</v>
      </c>
      <c r="D549" s="42" t="s">
        <v>1375</v>
      </c>
      <c r="E549" s="4">
        <v>2024</v>
      </c>
      <c r="F549" s="4" t="s">
        <v>29</v>
      </c>
      <c r="G549" s="61" t="s">
        <v>30</v>
      </c>
      <c r="H549" s="5" t="s">
        <v>59</v>
      </c>
      <c r="I549" s="5" t="s">
        <v>25</v>
      </c>
      <c r="J549" s="5" t="s">
        <v>273</v>
      </c>
      <c r="K549" s="4">
        <v>11</v>
      </c>
      <c r="L549" s="38">
        <v>71.86</v>
      </c>
      <c r="M549" s="6">
        <v>5</v>
      </c>
      <c r="N549" s="38">
        <v>790.46</v>
      </c>
      <c r="O549" s="38">
        <v>39.520000000000003</v>
      </c>
      <c r="P549" s="54">
        <v>750.94</v>
      </c>
      <c r="Q549" s="38">
        <v>323.08999999999997</v>
      </c>
      <c r="R549" s="38">
        <v>427.85</v>
      </c>
      <c r="S549" s="6">
        <v>57</v>
      </c>
      <c r="T549" s="4" t="s">
        <v>33</v>
      </c>
      <c r="U549" s="16">
        <v>2</v>
      </c>
    </row>
    <row r="550" spans="1:21" x14ac:dyDescent="0.3">
      <c r="A550" s="13" t="s">
        <v>860</v>
      </c>
      <c r="B550" s="45">
        <v>45494</v>
      </c>
      <c r="C550" s="1" t="s">
        <v>813</v>
      </c>
      <c r="D550" s="41" t="s">
        <v>1375</v>
      </c>
      <c r="E550" s="1">
        <v>2024</v>
      </c>
      <c r="F550" s="1" t="s">
        <v>35</v>
      </c>
      <c r="G550" s="60" t="s">
        <v>91</v>
      </c>
      <c r="H550" s="2" t="s">
        <v>37</v>
      </c>
      <c r="I550" s="2" t="s">
        <v>25</v>
      </c>
      <c r="J550" s="2" t="s">
        <v>691</v>
      </c>
      <c r="K550" s="1">
        <v>5</v>
      </c>
      <c r="L550" s="37">
        <v>105.24</v>
      </c>
      <c r="M550" s="3">
        <v>0</v>
      </c>
      <c r="N550" s="37">
        <v>526.20000000000005</v>
      </c>
      <c r="O550" s="37">
        <v>0</v>
      </c>
      <c r="P550" s="53">
        <v>526.20000000000005</v>
      </c>
      <c r="Q550" s="37">
        <v>285.93</v>
      </c>
      <c r="R550" s="37">
        <v>240.27</v>
      </c>
      <c r="S550" s="3">
        <v>45.7</v>
      </c>
      <c r="T550" s="1" t="s">
        <v>27</v>
      </c>
      <c r="U550" s="15">
        <v>1</v>
      </c>
    </row>
    <row r="551" spans="1:21" x14ac:dyDescent="0.3">
      <c r="A551" s="14" t="s">
        <v>861</v>
      </c>
      <c r="B551" s="46">
        <v>45494</v>
      </c>
      <c r="C551" s="4" t="s">
        <v>813</v>
      </c>
      <c r="D551" s="42" t="s">
        <v>1375</v>
      </c>
      <c r="E551" s="4">
        <v>2024</v>
      </c>
      <c r="F551" s="4" t="s">
        <v>35</v>
      </c>
      <c r="G551" s="61" t="s">
        <v>46</v>
      </c>
      <c r="H551" s="5" t="s">
        <v>24</v>
      </c>
      <c r="I551" s="5" t="s">
        <v>75</v>
      </c>
      <c r="J551" s="5" t="s">
        <v>518</v>
      </c>
      <c r="K551" s="4">
        <v>3</v>
      </c>
      <c r="L551" s="38">
        <v>293.83999999999997</v>
      </c>
      <c r="M551" s="6">
        <v>15</v>
      </c>
      <c r="N551" s="38">
        <v>881.52</v>
      </c>
      <c r="O551" s="38">
        <v>132.22999999999999</v>
      </c>
      <c r="P551" s="54">
        <v>749.29</v>
      </c>
      <c r="Q551" s="38">
        <v>323.22000000000003</v>
      </c>
      <c r="R551" s="38">
        <v>426.07</v>
      </c>
      <c r="S551" s="6">
        <v>56.9</v>
      </c>
      <c r="T551" s="4" t="s">
        <v>44</v>
      </c>
      <c r="U551" s="16">
        <v>4</v>
      </c>
    </row>
    <row r="552" spans="1:21" x14ac:dyDescent="0.3">
      <c r="A552" s="13" t="s">
        <v>862</v>
      </c>
      <c r="B552" s="45">
        <v>45495</v>
      </c>
      <c r="C552" s="1" t="s">
        <v>813</v>
      </c>
      <c r="D552" s="41" t="s">
        <v>1375</v>
      </c>
      <c r="E552" s="1">
        <v>2024</v>
      </c>
      <c r="F552" s="1" t="s">
        <v>53</v>
      </c>
      <c r="G552" s="60" t="s">
        <v>30</v>
      </c>
      <c r="H552" s="2" t="s">
        <v>37</v>
      </c>
      <c r="I552" s="2" t="s">
        <v>55</v>
      </c>
      <c r="J552" s="2" t="s">
        <v>210</v>
      </c>
      <c r="K552" s="1">
        <v>8</v>
      </c>
      <c r="L552" s="37">
        <v>612.15</v>
      </c>
      <c r="M552" s="3">
        <v>15</v>
      </c>
      <c r="N552" s="37">
        <v>4897.2</v>
      </c>
      <c r="O552" s="37">
        <v>734.58</v>
      </c>
      <c r="P552" s="53">
        <v>4162.62</v>
      </c>
      <c r="Q552" s="37">
        <v>2012.5</v>
      </c>
      <c r="R552" s="37">
        <v>2150.12</v>
      </c>
      <c r="S552" s="3">
        <v>51.7</v>
      </c>
      <c r="T552" s="1" t="s">
        <v>33</v>
      </c>
      <c r="U552" s="15">
        <v>1</v>
      </c>
    </row>
    <row r="553" spans="1:21" x14ac:dyDescent="0.3">
      <c r="A553" s="14" t="s">
        <v>863</v>
      </c>
      <c r="B553" s="46">
        <v>45496</v>
      </c>
      <c r="C553" s="4" t="s">
        <v>813</v>
      </c>
      <c r="D553" s="42" t="s">
        <v>1375</v>
      </c>
      <c r="E553" s="4">
        <v>2024</v>
      </c>
      <c r="F553" s="4" t="s">
        <v>29</v>
      </c>
      <c r="G553" s="61" t="s">
        <v>58</v>
      </c>
      <c r="H553" s="5" t="s">
        <v>24</v>
      </c>
      <c r="I553" s="5" t="s">
        <v>38</v>
      </c>
      <c r="J553" s="5" t="s">
        <v>553</v>
      </c>
      <c r="K553" s="4">
        <v>12</v>
      </c>
      <c r="L553" s="38">
        <v>72.42</v>
      </c>
      <c r="M553" s="6">
        <v>15</v>
      </c>
      <c r="N553" s="38">
        <v>869.04</v>
      </c>
      <c r="O553" s="38">
        <v>130.36000000000001</v>
      </c>
      <c r="P553" s="54">
        <v>738.68</v>
      </c>
      <c r="Q553" s="38">
        <v>449.74</v>
      </c>
      <c r="R553" s="38">
        <v>288.94</v>
      </c>
      <c r="S553" s="6">
        <v>39.1</v>
      </c>
      <c r="T553" s="4" t="s">
        <v>33</v>
      </c>
      <c r="U553" s="16">
        <v>1</v>
      </c>
    </row>
    <row r="554" spans="1:21" x14ac:dyDescent="0.3">
      <c r="A554" s="13" t="s">
        <v>864</v>
      </c>
      <c r="B554" s="45">
        <v>45496</v>
      </c>
      <c r="C554" s="1" t="s">
        <v>813</v>
      </c>
      <c r="D554" s="41" t="s">
        <v>1375</v>
      </c>
      <c r="E554" s="1">
        <v>2024</v>
      </c>
      <c r="F554" s="1" t="s">
        <v>29</v>
      </c>
      <c r="G554" s="60" t="s">
        <v>122</v>
      </c>
      <c r="H554" s="2" t="s">
        <v>50</v>
      </c>
      <c r="I554" s="2" t="s">
        <v>55</v>
      </c>
      <c r="J554" s="2" t="s">
        <v>655</v>
      </c>
      <c r="K554" s="1">
        <v>13</v>
      </c>
      <c r="L554" s="37">
        <v>562.30999999999995</v>
      </c>
      <c r="M554" s="3">
        <v>5</v>
      </c>
      <c r="N554" s="37">
        <v>7310.03</v>
      </c>
      <c r="O554" s="37">
        <v>365.5</v>
      </c>
      <c r="P554" s="53">
        <v>6944.53</v>
      </c>
      <c r="Q554" s="37">
        <v>3187.19</v>
      </c>
      <c r="R554" s="37">
        <v>3757.34</v>
      </c>
      <c r="S554" s="3">
        <v>54.1</v>
      </c>
      <c r="T554" s="1" t="s">
        <v>27</v>
      </c>
      <c r="U554" s="15">
        <v>1</v>
      </c>
    </row>
    <row r="555" spans="1:21" x14ac:dyDescent="0.3">
      <c r="A555" s="14" t="s">
        <v>865</v>
      </c>
      <c r="B555" s="46">
        <v>45496</v>
      </c>
      <c r="C555" s="4" t="s">
        <v>813</v>
      </c>
      <c r="D555" s="42" t="s">
        <v>1375</v>
      </c>
      <c r="E555" s="4">
        <v>2024</v>
      </c>
      <c r="F555" s="4" t="s">
        <v>41</v>
      </c>
      <c r="G555" s="61" t="s">
        <v>58</v>
      </c>
      <c r="H555" s="5" t="s">
        <v>50</v>
      </c>
      <c r="I555" s="5" t="s">
        <v>38</v>
      </c>
      <c r="J555" s="5" t="s">
        <v>646</v>
      </c>
      <c r="K555" s="4">
        <v>17</v>
      </c>
      <c r="L555" s="38">
        <v>9.17</v>
      </c>
      <c r="M555" s="6">
        <v>0</v>
      </c>
      <c r="N555" s="38">
        <v>155.88999999999999</v>
      </c>
      <c r="O555" s="38">
        <v>0</v>
      </c>
      <c r="P555" s="54">
        <v>155.88999999999999</v>
      </c>
      <c r="Q555" s="38">
        <v>82.01</v>
      </c>
      <c r="R555" s="38">
        <v>73.88</v>
      </c>
      <c r="S555" s="6">
        <v>47.4</v>
      </c>
      <c r="T555" s="4" t="s">
        <v>27</v>
      </c>
      <c r="U555" s="16">
        <v>2</v>
      </c>
    </row>
    <row r="556" spans="1:21" x14ac:dyDescent="0.3">
      <c r="A556" s="13" t="s">
        <v>866</v>
      </c>
      <c r="B556" s="45">
        <v>45496</v>
      </c>
      <c r="C556" s="1" t="s">
        <v>813</v>
      </c>
      <c r="D556" s="41" t="s">
        <v>1375</v>
      </c>
      <c r="E556" s="1">
        <v>2024</v>
      </c>
      <c r="F556" s="1" t="s">
        <v>41</v>
      </c>
      <c r="G556" s="60" t="s">
        <v>46</v>
      </c>
      <c r="H556" s="2" t="s">
        <v>59</v>
      </c>
      <c r="I556" s="2" t="s">
        <v>38</v>
      </c>
      <c r="J556" s="2" t="s">
        <v>646</v>
      </c>
      <c r="K556" s="1">
        <v>2</v>
      </c>
      <c r="L556" s="37">
        <v>14.9</v>
      </c>
      <c r="M556" s="3">
        <v>20</v>
      </c>
      <c r="N556" s="37">
        <v>29.8</v>
      </c>
      <c r="O556" s="37">
        <v>5.96</v>
      </c>
      <c r="P556" s="53">
        <v>23.84</v>
      </c>
      <c r="Q556" s="37">
        <v>15.25</v>
      </c>
      <c r="R556" s="37">
        <v>8.59</v>
      </c>
      <c r="S556" s="3">
        <v>36</v>
      </c>
      <c r="T556" s="1" t="s">
        <v>44</v>
      </c>
      <c r="U556" s="15">
        <v>3</v>
      </c>
    </row>
    <row r="557" spans="1:21" x14ac:dyDescent="0.3">
      <c r="A557" s="14" t="s">
        <v>867</v>
      </c>
      <c r="B557" s="46">
        <v>45496</v>
      </c>
      <c r="C557" s="4" t="s">
        <v>813</v>
      </c>
      <c r="D557" s="42" t="s">
        <v>1375</v>
      </c>
      <c r="E557" s="4">
        <v>2024</v>
      </c>
      <c r="F557" s="4" t="s">
        <v>53</v>
      </c>
      <c r="G557" s="61" t="s">
        <v>58</v>
      </c>
      <c r="H557" s="5" t="s">
        <v>37</v>
      </c>
      <c r="I557" s="5" t="s">
        <v>25</v>
      </c>
      <c r="J557" s="5" t="s">
        <v>749</v>
      </c>
      <c r="K557" s="4">
        <v>10</v>
      </c>
      <c r="L557" s="38">
        <v>68.16</v>
      </c>
      <c r="M557" s="6">
        <v>20</v>
      </c>
      <c r="N557" s="38">
        <v>681.6</v>
      </c>
      <c r="O557" s="38">
        <v>136.32</v>
      </c>
      <c r="P557" s="54">
        <v>545.28</v>
      </c>
      <c r="Q557" s="38">
        <v>258.57</v>
      </c>
      <c r="R557" s="38">
        <v>286.70999999999998</v>
      </c>
      <c r="S557" s="6">
        <v>52.6</v>
      </c>
      <c r="T557" s="4" t="s">
        <v>33</v>
      </c>
      <c r="U557" s="16">
        <v>5</v>
      </c>
    </row>
    <row r="558" spans="1:21" x14ac:dyDescent="0.3">
      <c r="A558" s="13" t="s">
        <v>868</v>
      </c>
      <c r="B558" s="45">
        <v>45497</v>
      </c>
      <c r="C558" s="1" t="s">
        <v>813</v>
      </c>
      <c r="D558" s="41" t="s">
        <v>1375</v>
      </c>
      <c r="E558" s="1">
        <v>2024</v>
      </c>
      <c r="F558" s="1" t="s">
        <v>41</v>
      </c>
      <c r="G558" s="60" t="s">
        <v>23</v>
      </c>
      <c r="H558" s="2" t="s">
        <v>24</v>
      </c>
      <c r="I558" s="2" t="s">
        <v>38</v>
      </c>
      <c r="J558" s="2" t="s">
        <v>676</v>
      </c>
      <c r="K558" s="1">
        <v>9</v>
      </c>
      <c r="L558" s="37">
        <v>47.29</v>
      </c>
      <c r="M558" s="3">
        <v>10</v>
      </c>
      <c r="N558" s="37">
        <v>425.61</v>
      </c>
      <c r="O558" s="37">
        <v>42.56</v>
      </c>
      <c r="P558" s="53">
        <v>383.05</v>
      </c>
      <c r="Q558" s="37">
        <v>155.19999999999999</v>
      </c>
      <c r="R558" s="37">
        <v>227.85</v>
      </c>
      <c r="S558" s="3">
        <v>59.5</v>
      </c>
      <c r="T558" s="1" t="s">
        <v>44</v>
      </c>
      <c r="U558" s="15">
        <v>5</v>
      </c>
    </row>
    <row r="559" spans="1:21" x14ac:dyDescent="0.3">
      <c r="A559" s="14" t="s">
        <v>869</v>
      </c>
      <c r="B559" s="46">
        <v>45497</v>
      </c>
      <c r="C559" s="4" t="s">
        <v>813</v>
      </c>
      <c r="D559" s="42" t="s">
        <v>1375</v>
      </c>
      <c r="E559" s="4">
        <v>2024</v>
      </c>
      <c r="F559" s="4" t="s">
        <v>22</v>
      </c>
      <c r="G559" s="61" t="s">
        <v>91</v>
      </c>
      <c r="H559" s="5" t="s">
        <v>24</v>
      </c>
      <c r="I559" s="5" t="s">
        <v>31</v>
      </c>
      <c r="J559" s="5" t="s">
        <v>258</v>
      </c>
      <c r="K559" s="4">
        <v>6</v>
      </c>
      <c r="L559" s="38">
        <v>118.38</v>
      </c>
      <c r="M559" s="6">
        <v>10</v>
      </c>
      <c r="N559" s="38">
        <v>710.28</v>
      </c>
      <c r="O559" s="38">
        <v>71.03</v>
      </c>
      <c r="P559" s="54">
        <v>639.25</v>
      </c>
      <c r="Q559" s="38">
        <v>228.17</v>
      </c>
      <c r="R559" s="38">
        <v>411.08</v>
      </c>
      <c r="S559" s="6">
        <v>64.3</v>
      </c>
      <c r="T559" s="4" t="s">
        <v>27</v>
      </c>
      <c r="U559" s="16">
        <v>3</v>
      </c>
    </row>
    <row r="560" spans="1:21" x14ac:dyDescent="0.3">
      <c r="A560" s="13" t="s">
        <v>870</v>
      </c>
      <c r="B560" s="45">
        <v>45497</v>
      </c>
      <c r="C560" s="1" t="s">
        <v>813</v>
      </c>
      <c r="D560" s="41" t="s">
        <v>1375</v>
      </c>
      <c r="E560" s="1">
        <v>2024</v>
      </c>
      <c r="F560" s="1" t="s">
        <v>35</v>
      </c>
      <c r="G560" s="60" t="s">
        <v>46</v>
      </c>
      <c r="H560" s="2" t="s">
        <v>37</v>
      </c>
      <c r="I560" s="2" t="s">
        <v>75</v>
      </c>
      <c r="J560" s="2" t="s">
        <v>326</v>
      </c>
      <c r="K560" s="1">
        <v>1</v>
      </c>
      <c r="L560" s="37">
        <v>277.29000000000002</v>
      </c>
      <c r="M560" s="3">
        <v>0</v>
      </c>
      <c r="N560" s="37">
        <v>277.29000000000002</v>
      </c>
      <c r="O560" s="37">
        <v>0</v>
      </c>
      <c r="P560" s="53">
        <v>277.29000000000002</v>
      </c>
      <c r="Q560" s="37">
        <v>157.59</v>
      </c>
      <c r="R560" s="37">
        <v>119.7</v>
      </c>
      <c r="S560" s="3">
        <v>43.2</v>
      </c>
      <c r="T560" s="1" t="s">
        <v>44</v>
      </c>
      <c r="U560" s="15">
        <v>3</v>
      </c>
    </row>
    <row r="561" spans="1:21" x14ac:dyDescent="0.3">
      <c r="A561" s="14" t="s">
        <v>871</v>
      </c>
      <c r="B561" s="46">
        <v>45498</v>
      </c>
      <c r="C561" s="4" t="s">
        <v>813</v>
      </c>
      <c r="D561" s="42" t="s">
        <v>1375</v>
      </c>
      <c r="E561" s="4">
        <v>2024</v>
      </c>
      <c r="F561" s="4" t="s">
        <v>22</v>
      </c>
      <c r="G561" s="61" t="s">
        <v>30</v>
      </c>
      <c r="H561" s="5" t="s">
        <v>59</v>
      </c>
      <c r="I561" s="5" t="s">
        <v>75</v>
      </c>
      <c r="J561" s="5" t="s">
        <v>509</v>
      </c>
      <c r="K561" s="4">
        <v>13</v>
      </c>
      <c r="L561" s="38">
        <v>140.56</v>
      </c>
      <c r="M561" s="6">
        <v>0</v>
      </c>
      <c r="N561" s="38">
        <v>1827.28</v>
      </c>
      <c r="O561" s="38">
        <v>0</v>
      </c>
      <c r="P561" s="54">
        <v>1827.28</v>
      </c>
      <c r="Q561" s="38">
        <v>1002.46</v>
      </c>
      <c r="R561" s="38">
        <v>824.82</v>
      </c>
      <c r="S561" s="6">
        <v>45.1</v>
      </c>
      <c r="T561" s="4" t="s">
        <v>44</v>
      </c>
      <c r="U561" s="16">
        <v>2</v>
      </c>
    </row>
    <row r="562" spans="1:21" x14ac:dyDescent="0.3">
      <c r="A562" s="13" t="s">
        <v>872</v>
      </c>
      <c r="B562" s="45">
        <v>45498</v>
      </c>
      <c r="C562" s="1" t="s">
        <v>813</v>
      </c>
      <c r="D562" s="41" t="s">
        <v>1375</v>
      </c>
      <c r="E562" s="1">
        <v>2024</v>
      </c>
      <c r="F562" s="1" t="s">
        <v>29</v>
      </c>
      <c r="G562" s="60" t="s">
        <v>122</v>
      </c>
      <c r="H562" s="2" t="s">
        <v>37</v>
      </c>
      <c r="I562" s="2" t="s">
        <v>31</v>
      </c>
      <c r="J562" s="2" t="s">
        <v>368</v>
      </c>
      <c r="K562" s="1">
        <v>15</v>
      </c>
      <c r="L562" s="37">
        <v>19.03</v>
      </c>
      <c r="M562" s="3">
        <v>15</v>
      </c>
      <c r="N562" s="37">
        <v>285.45</v>
      </c>
      <c r="O562" s="37">
        <v>42.82</v>
      </c>
      <c r="P562" s="53">
        <v>242.63</v>
      </c>
      <c r="Q562" s="37">
        <v>153.37</v>
      </c>
      <c r="R562" s="37">
        <v>89.26</v>
      </c>
      <c r="S562" s="3">
        <v>36.799999999999997</v>
      </c>
      <c r="T562" s="1" t="s">
        <v>33</v>
      </c>
      <c r="U562" s="15">
        <v>5</v>
      </c>
    </row>
    <row r="563" spans="1:21" x14ac:dyDescent="0.3">
      <c r="A563" s="14" t="s">
        <v>873</v>
      </c>
      <c r="B563" s="46">
        <v>45498</v>
      </c>
      <c r="C563" s="4" t="s">
        <v>813</v>
      </c>
      <c r="D563" s="42" t="s">
        <v>1375</v>
      </c>
      <c r="E563" s="4">
        <v>2024</v>
      </c>
      <c r="F563" s="4" t="s">
        <v>41</v>
      </c>
      <c r="G563" s="61" t="s">
        <v>42</v>
      </c>
      <c r="H563" s="5" t="s">
        <v>50</v>
      </c>
      <c r="I563" s="5" t="s">
        <v>75</v>
      </c>
      <c r="J563" s="5" t="s">
        <v>305</v>
      </c>
      <c r="K563" s="4">
        <v>18</v>
      </c>
      <c r="L563" s="38">
        <v>120.42</v>
      </c>
      <c r="M563" s="6">
        <v>0</v>
      </c>
      <c r="N563" s="38">
        <v>2167.56</v>
      </c>
      <c r="O563" s="38">
        <v>0</v>
      </c>
      <c r="P563" s="54">
        <v>2167.56</v>
      </c>
      <c r="Q563" s="38">
        <v>1214.29</v>
      </c>
      <c r="R563" s="38">
        <v>953.27</v>
      </c>
      <c r="S563" s="6">
        <v>44</v>
      </c>
      <c r="T563" s="4" t="s">
        <v>27</v>
      </c>
      <c r="U563" s="16">
        <v>4</v>
      </c>
    </row>
    <row r="564" spans="1:21" x14ac:dyDescent="0.3">
      <c r="A564" s="13" t="s">
        <v>874</v>
      </c>
      <c r="B564" s="45">
        <v>45499</v>
      </c>
      <c r="C564" s="1" t="s">
        <v>813</v>
      </c>
      <c r="D564" s="41" t="s">
        <v>1375</v>
      </c>
      <c r="E564" s="1">
        <v>2024</v>
      </c>
      <c r="F564" s="1" t="s">
        <v>22</v>
      </c>
      <c r="G564" s="60" t="s">
        <v>58</v>
      </c>
      <c r="H564" s="2" t="s">
        <v>50</v>
      </c>
      <c r="I564" s="2" t="s">
        <v>47</v>
      </c>
      <c r="J564" s="2" t="s">
        <v>777</v>
      </c>
      <c r="K564" s="1">
        <v>18</v>
      </c>
      <c r="L564" s="37">
        <v>21.45</v>
      </c>
      <c r="M564" s="3">
        <v>10</v>
      </c>
      <c r="N564" s="37">
        <v>386.1</v>
      </c>
      <c r="O564" s="37">
        <v>38.61</v>
      </c>
      <c r="P564" s="53">
        <v>347.49</v>
      </c>
      <c r="Q564" s="37">
        <v>129.97</v>
      </c>
      <c r="R564" s="37">
        <v>217.52</v>
      </c>
      <c r="S564" s="3">
        <v>62.6</v>
      </c>
      <c r="T564" s="1" t="s">
        <v>44</v>
      </c>
      <c r="U564" s="15">
        <v>2</v>
      </c>
    </row>
    <row r="565" spans="1:21" x14ac:dyDescent="0.3">
      <c r="A565" s="14" t="s">
        <v>875</v>
      </c>
      <c r="B565" s="46">
        <v>45499</v>
      </c>
      <c r="C565" s="4" t="s">
        <v>813</v>
      </c>
      <c r="D565" s="42" t="s">
        <v>1375</v>
      </c>
      <c r="E565" s="4">
        <v>2024</v>
      </c>
      <c r="F565" s="4" t="s">
        <v>29</v>
      </c>
      <c r="G565" s="61" t="s">
        <v>66</v>
      </c>
      <c r="H565" s="5" t="s">
        <v>59</v>
      </c>
      <c r="I565" s="5" t="s">
        <v>75</v>
      </c>
      <c r="J565" s="5" t="s">
        <v>326</v>
      </c>
      <c r="K565" s="4">
        <v>8</v>
      </c>
      <c r="L565" s="38">
        <v>106.71</v>
      </c>
      <c r="M565" s="6">
        <v>20</v>
      </c>
      <c r="N565" s="38">
        <v>853.68</v>
      </c>
      <c r="O565" s="38">
        <v>170.74</v>
      </c>
      <c r="P565" s="54">
        <v>682.94</v>
      </c>
      <c r="Q565" s="38">
        <v>273.23</v>
      </c>
      <c r="R565" s="38">
        <v>409.71</v>
      </c>
      <c r="S565" s="6">
        <v>60</v>
      </c>
      <c r="T565" s="4" t="s">
        <v>44</v>
      </c>
      <c r="U565" s="16">
        <v>5</v>
      </c>
    </row>
    <row r="566" spans="1:21" x14ac:dyDescent="0.3">
      <c r="A566" s="13" t="s">
        <v>876</v>
      </c>
      <c r="B566" s="45">
        <v>45499</v>
      </c>
      <c r="C566" s="1" t="s">
        <v>813</v>
      </c>
      <c r="D566" s="41" t="s">
        <v>1375</v>
      </c>
      <c r="E566" s="1">
        <v>2024</v>
      </c>
      <c r="F566" s="1" t="s">
        <v>41</v>
      </c>
      <c r="G566" s="60" t="s">
        <v>91</v>
      </c>
      <c r="H566" s="2" t="s">
        <v>37</v>
      </c>
      <c r="I566" s="2" t="s">
        <v>75</v>
      </c>
      <c r="J566" s="2" t="s">
        <v>357</v>
      </c>
      <c r="K566" s="1">
        <v>4</v>
      </c>
      <c r="L566" s="37">
        <v>52.39</v>
      </c>
      <c r="M566" s="3">
        <v>5</v>
      </c>
      <c r="N566" s="37">
        <v>209.56</v>
      </c>
      <c r="O566" s="37">
        <v>10.48</v>
      </c>
      <c r="P566" s="53">
        <v>199.08</v>
      </c>
      <c r="Q566" s="37">
        <v>75.83</v>
      </c>
      <c r="R566" s="37">
        <v>123.25</v>
      </c>
      <c r="S566" s="3">
        <v>61.9</v>
      </c>
      <c r="T566" s="1" t="s">
        <v>27</v>
      </c>
      <c r="U566" s="15">
        <v>4</v>
      </c>
    </row>
    <row r="567" spans="1:21" x14ac:dyDescent="0.3">
      <c r="A567" s="14" t="s">
        <v>877</v>
      </c>
      <c r="B567" s="46">
        <v>45500</v>
      </c>
      <c r="C567" s="4" t="s">
        <v>813</v>
      </c>
      <c r="D567" s="42" t="s">
        <v>1375</v>
      </c>
      <c r="E567" s="4">
        <v>2024</v>
      </c>
      <c r="F567" s="4" t="s">
        <v>35</v>
      </c>
      <c r="G567" s="61" t="s">
        <v>54</v>
      </c>
      <c r="H567" s="5" t="s">
        <v>50</v>
      </c>
      <c r="I567" s="5" t="s">
        <v>75</v>
      </c>
      <c r="J567" s="5" t="s">
        <v>177</v>
      </c>
      <c r="K567" s="4">
        <v>15</v>
      </c>
      <c r="L567" s="38">
        <v>183.89</v>
      </c>
      <c r="M567" s="6">
        <v>20</v>
      </c>
      <c r="N567" s="38">
        <v>2758.35</v>
      </c>
      <c r="O567" s="38">
        <v>551.66999999999996</v>
      </c>
      <c r="P567" s="54">
        <v>2206.6799999999998</v>
      </c>
      <c r="Q567" s="38">
        <v>814.57</v>
      </c>
      <c r="R567" s="38">
        <v>1392.11</v>
      </c>
      <c r="S567" s="6">
        <v>63.1</v>
      </c>
      <c r="T567" s="4" t="s">
        <v>27</v>
      </c>
      <c r="U567" s="16">
        <v>2</v>
      </c>
    </row>
    <row r="568" spans="1:21" x14ac:dyDescent="0.3">
      <c r="A568" s="13" t="s">
        <v>878</v>
      </c>
      <c r="B568" s="45">
        <v>45500</v>
      </c>
      <c r="C568" s="1" t="s">
        <v>813</v>
      </c>
      <c r="D568" s="41" t="s">
        <v>1375</v>
      </c>
      <c r="E568" s="1">
        <v>2024</v>
      </c>
      <c r="F568" s="1" t="s">
        <v>35</v>
      </c>
      <c r="G568" s="60" t="s">
        <v>58</v>
      </c>
      <c r="H568" s="2" t="s">
        <v>24</v>
      </c>
      <c r="I568" s="2" t="s">
        <v>38</v>
      </c>
      <c r="J568" s="2" t="s">
        <v>879</v>
      </c>
      <c r="K568" s="1">
        <v>4</v>
      </c>
      <c r="L568" s="37">
        <v>57.53</v>
      </c>
      <c r="M568" s="3">
        <v>5</v>
      </c>
      <c r="N568" s="37">
        <v>230.12</v>
      </c>
      <c r="O568" s="37">
        <v>11.51</v>
      </c>
      <c r="P568" s="53">
        <v>218.61</v>
      </c>
      <c r="Q568" s="37">
        <v>134.13999999999999</v>
      </c>
      <c r="R568" s="37">
        <v>84.47</v>
      </c>
      <c r="S568" s="3">
        <v>38.6</v>
      </c>
      <c r="T568" s="1" t="s">
        <v>44</v>
      </c>
      <c r="U568" s="15">
        <v>5</v>
      </c>
    </row>
    <row r="569" spans="1:21" x14ac:dyDescent="0.3">
      <c r="A569" s="14" t="s">
        <v>880</v>
      </c>
      <c r="B569" s="46">
        <v>45500</v>
      </c>
      <c r="C569" s="4" t="s">
        <v>813</v>
      </c>
      <c r="D569" s="42" t="s">
        <v>1375</v>
      </c>
      <c r="E569" s="4">
        <v>2024</v>
      </c>
      <c r="F569" s="4" t="s">
        <v>41</v>
      </c>
      <c r="G569" s="61" t="s">
        <v>66</v>
      </c>
      <c r="H569" s="5" t="s">
        <v>24</v>
      </c>
      <c r="I569" s="5" t="s">
        <v>55</v>
      </c>
      <c r="J569" s="5" t="s">
        <v>189</v>
      </c>
      <c r="K569" s="4">
        <v>5</v>
      </c>
      <c r="L569" s="38">
        <v>672.34</v>
      </c>
      <c r="M569" s="6">
        <v>20</v>
      </c>
      <c r="N569" s="38">
        <v>3361.7</v>
      </c>
      <c r="O569" s="38">
        <v>672.34</v>
      </c>
      <c r="P569" s="54">
        <v>2689.36</v>
      </c>
      <c r="Q569" s="38">
        <v>1383.76</v>
      </c>
      <c r="R569" s="38">
        <v>1305.5999999999999</v>
      </c>
      <c r="S569" s="6">
        <v>48.5</v>
      </c>
      <c r="T569" s="4" t="s">
        <v>27</v>
      </c>
      <c r="U569" s="16">
        <v>4</v>
      </c>
    </row>
    <row r="570" spans="1:21" x14ac:dyDescent="0.3">
      <c r="A570" s="13" t="s">
        <v>881</v>
      </c>
      <c r="B570" s="45">
        <v>45500</v>
      </c>
      <c r="C570" s="1" t="s">
        <v>813</v>
      </c>
      <c r="D570" s="41" t="s">
        <v>1375</v>
      </c>
      <c r="E570" s="1">
        <v>2024</v>
      </c>
      <c r="F570" s="1" t="s">
        <v>35</v>
      </c>
      <c r="G570" s="60" t="s">
        <v>54</v>
      </c>
      <c r="H570" s="2" t="s">
        <v>37</v>
      </c>
      <c r="I570" s="2" t="s">
        <v>47</v>
      </c>
      <c r="J570" s="2" t="s">
        <v>882</v>
      </c>
      <c r="K570" s="1">
        <v>4</v>
      </c>
      <c r="L570" s="37">
        <v>48.92</v>
      </c>
      <c r="M570" s="3">
        <v>0</v>
      </c>
      <c r="N570" s="37">
        <v>195.68</v>
      </c>
      <c r="O570" s="37">
        <v>0</v>
      </c>
      <c r="P570" s="53">
        <v>195.68</v>
      </c>
      <c r="Q570" s="37">
        <v>70.040000000000006</v>
      </c>
      <c r="R570" s="37">
        <v>125.64</v>
      </c>
      <c r="S570" s="3">
        <v>64.2</v>
      </c>
      <c r="T570" s="1" t="s">
        <v>33</v>
      </c>
      <c r="U570" s="15">
        <v>1</v>
      </c>
    </row>
    <row r="571" spans="1:21" x14ac:dyDescent="0.3">
      <c r="A571" s="14" t="s">
        <v>883</v>
      </c>
      <c r="B571" s="46">
        <v>45500</v>
      </c>
      <c r="C571" s="4" t="s">
        <v>813</v>
      </c>
      <c r="D571" s="42" t="s">
        <v>1375</v>
      </c>
      <c r="E571" s="4">
        <v>2024</v>
      </c>
      <c r="F571" s="4" t="s">
        <v>53</v>
      </c>
      <c r="G571" s="61" t="s">
        <v>122</v>
      </c>
      <c r="H571" s="5" t="s">
        <v>59</v>
      </c>
      <c r="I571" s="5" t="s">
        <v>75</v>
      </c>
      <c r="J571" s="5" t="s">
        <v>884</v>
      </c>
      <c r="K571" s="4">
        <v>1</v>
      </c>
      <c r="L571" s="38">
        <v>360.33</v>
      </c>
      <c r="M571" s="6">
        <v>0</v>
      </c>
      <c r="N571" s="38">
        <v>360.33</v>
      </c>
      <c r="O571" s="38">
        <v>0</v>
      </c>
      <c r="P571" s="54">
        <v>360.33</v>
      </c>
      <c r="Q571" s="38">
        <v>169.03</v>
      </c>
      <c r="R571" s="38">
        <v>191.3</v>
      </c>
      <c r="S571" s="6">
        <v>53.1</v>
      </c>
      <c r="T571" s="4" t="s">
        <v>44</v>
      </c>
      <c r="U571" s="16">
        <v>5</v>
      </c>
    </row>
    <row r="572" spans="1:21" x14ac:dyDescent="0.3">
      <c r="A572" s="13" t="s">
        <v>885</v>
      </c>
      <c r="B572" s="45">
        <v>45501</v>
      </c>
      <c r="C572" s="1" t="s">
        <v>813</v>
      </c>
      <c r="D572" s="41" t="s">
        <v>1375</v>
      </c>
      <c r="E572" s="1">
        <v>2024</v>
      </c>
      <c r="F572" s="1" t="s">
        <v>41</v>
      </c>
      <c r="G572" s="60" t="s">
        <v>46</v>
      </c>
      <c r="H572" s="2" t="s">
        <v>24</v>
      </c>
      <c r="I572" s="2" t="s">
        <v>47</v>
      </c>
      <c r="J572" s="2" t="s">
        <v>158</v>
      </c>
      <c r="K572" s="1">
        <v>2</v>
      </c>
      <c r="L572" s="37">
        <v>493.35</v>
      </c>
      <c r="M572" s="3">
        <v>20</v>
      </c>
      <c r="N572" s="37">
        <v>986.7</v>
      </c>
      <c r="O572" s="37">
        <v>197.34</v>
      </c>
      <c r="P572" s="53">
        <v>789.36</v>
      </c>
      <c r="Q572" s="37">
        <v>457.43</v>
      </c>
      <c r="R572" s="37">
        <v>331.93</v>
      </c>
      <c r="S572" s="3">
        <v>42.1</v>
      </c>
      <c r="T572" s="1" t="s">
        <v>27</v>
      </c>
      <c r="U572" s="15">
        <v>4</v>
      </c>
    </row>
    <row r="573" spans="1:21" x14ac:dyDescent="0.3">
      <c r="A573" s="14" t="s">
        <v>886</v>
      </c>
      <c r="B573" s="46">
        <v>45501</v>
      </c>
      <c r="C573" s="4" t="s">
        <v>813</v>
      </c>
      <c r="D573" s="42" t="s">
        <v>1375</v>
      </c>
      <c r="E573" s="4">
        <v>2024</v>
      </c>
      <c r="F573" s="4" t="s">
        <v>53</v>
      </c>
      <c r="G573" s="61" t="s">
        <v>54</v>
      </c>
      <c r="H573" s="5" t="s">
        <v>24</v>
      </c>
      <c r="I573" s="5" t="s">
        <v>38</v>
      </c>
      <c r="J573" s="5" t="s">
        <v>450</v>
      </c>
      <c r="K573" s="4">
        <v>8</v>
      </c>
      <c r="L573" s="38">
        <v>40.409999999999997</v>
      </c>
      <c r="M573" s="6">
        <v>5</v>
      </c>
      <c r="N573" s="38">
        <v>323.27999999999997</v>
      </c>
      <c r="O573" s="38">
        <v>16.16</v>
      </c>
      <c r="P573" s="54">
        <v>307.12</v>
      </c>
      <c r="Q573" s="38">
        <v>115.16</v>
      </c>
      <c r="R573" s="38">
        <v>191.96</v>
      </c>
      <c r="S573" s="6">
        <v>62.5</v>
      </c>
      <c r="T573" s="4" t="s">
        <v>44</v>
      </c>
      <c r="U573" s="16">
        <v>2</v>
      </c>
    </row>
    <row r="574" spans="1:21" x14ac:dyDescent="0.3">
      <c r="A574" s="13" t="s">
        <v>887</v>
      </c>
      <c r="B574" s="45">
        <v>45502</v>
      </c>
      <c r="C574" s="1" t="s">
        <v>813</v>
      </c>
      <c r="D574" s="41" t="s">
        <v>1375</v>
      </c>
      <c r="E574" s="1">
        <v>2024</v>
      </c>
      <c r="F574" s="1" t="s">
        <v>41</v>
      </c>
      <c r="G574" s="60" t="s">
        <v>122</v>
      </c>
      <c r="H574" s="2" t="s">
        <v>50</v>
      </c>
      <c r="I574" s="2" t="s">
        <v>47</v>
      </c>
      <c r="J574" s="2" t="s">
        <v>340</v>
      </c>
      <c r="K574" s="1">
        <v>5</v>
      </c>
      <c r="L574" s="37">
        <v>157.80000000000001</v>
      </c>
      <c r="M574" s="3">
        <v>0</v>
      </c>
      <c r="N574" s="37">
        <v>789</v>
      </c>
      <c r="O574" s="37">
        <v>0</v>
      </c>
      <c r="P574" s="53">
        <v>789</v>
      </c>
      <c r="Q574" s="37">
        <v>338.27</v>
      </c>
      <c r="R574" s="37">
        <v>450.73</v>
      </c>
      <c r="S574" s="3">
        <v>57.1</v>
      </c>
      <c r="T574" s="1" t="s">
        <v>44</v>
      </c>
      <c r="U574" s="15">
        <v>4</v>
      </c>
    </row>
    <row r="575" spans="1:21" x14ac:dyDescent="0.3">
      <c r="A575" s="14" t="s">
        <v>888</v>
      </c>
      <c r="B575" s="46">
        <v>45502</v>
      </c>
      <c r="C575" s="4" t="s">
        <v>813</v>
      </c>
      <c r="D575" s="42" t="s">
        <v>1375</v>
      </c>
      <c r="E575" s="4">
        <v>2024</v>
      </c>
      <c r="F575" s="4" t="s">
        <v>53</v>
      </c>
      <c r="G575" s="61" t="s">
        <v>54</v>
      </c>
      <c r="H575" s="5" t="s">
        <v>24</v>
      </c>
      <c r="I575" s="5" t="s">
        <v>47</v>
      </c>
      <c r="J575" s="5" t="s">
        <v>889</v>
      </c>
      <c r="K575" s="4">
        <v>7</v>
      </c>
      <c r="L575" s="38">
        <v>106.39</v>
      </c>
      <c r="M575" s="6">
        <v>0</v>
      </c>
      <c r="N575" s="38">
        <v>744.73</v>
      </c>
      <c r="O575" s="38">
        <v>0</v>
      </c>
      <c r="P575" s="54">
        <v>744.73</v>
      </c>
      <c r="Q575" s="38">
        <v>295.35000000000002</v>
      </c>
      <c r="R575" s="38">
        <v>449.38</v>
      </c>
      <c r="S575" s="6">
        <v>60.3</v>
      </c>
      <c r="T575" s="4" t="s">
        <v>44</v>
      </c>
      <c r="U575" s="16">
        <v>2</v>
      </c>
    </row>
    <row r="576" spans="1:21" x14ac:dyDescent="0.3">
      <c r="A576" s="13" t="s">
        <v>890</v>
      </c>
      <c r="B576" s="45">
        <v>45503</v>
      </c>
      <c r="C576" s="1" t="s">
        <v>813</v>
      </c>
      <c r="D576" s="41" t="s">
        <v>1375</v>
      </c>
      <c r="E576" s="1">
        <v>2024</v>
      </c>
      <c r="F576" s="1" t="s">
        <v>35</v>
      </c>
      <c r="G576" s="60" t="s">
        <v>66</v>
      </c>
      <c r="H576" s="2" t="s">
        <v>37</v>
      </c>
      <c r="I576" s="2" t="s">
        <v>31</v>
      </c>
      <c r="J576" s="2" t="s">
        <v>145</v>
      </c>
      <c r="K576" s="1">
        <v>13</v>
      </c>
      <c r="L576" s="37">
        <v>40.049999999999997</v>
      </c>
      <c r="M576" s="3">
        <v>0</v>
      </c>
      <c r="N576" s="37">
        <v>520.65</v>
      </c>
      <c r="O576" s="37">
        <v>0</v>
      </c>
      <c r="P576" s="53">
        <v>520.65</v>
      </c>
      <c r="Q576" s="37">
        <v>284.51</v>
      </c>
      <c r="R576" s="37">
        <v>236.14</v>
      </c>
      <c r="S576" s="3">
        <v>45.4</v>
      </c>
      <c r="T576" s="1" t="s">
        <v>44</v>
      </c>
      <c r="U576" s="15">
        <v>4</v>
      </c>
    </row>
    <row r="577" spans="1:21" x14ac:dyDescent="0.3">
      <c r="A577" s="14" t="s">
        <v>891</v>
      </c>
      <c r="B577" s="46">
        <v>45504</v>
      </c>
      <c r="C577" s="4" t="s">
        <v>813</v>
      </c>
      <c r="D577" s="42" t="s">
        <v>1375</v>
      </c>
      <c r="E577" s="4">
        <v>2024</v>
      </c>
      <c r="F577" s="4" t="s">
        <v>35</v>
      </c>
      <c r="G577" s="61" t="s">
        <v>91</v>
      </c>
      <c r="H577" s="5" t="s">
        <v>37</v>
      </c>
      <c r="I577" s="5" t="s">
        <v>38</v>
      </c>
      <c r="J577" s="5" t="s">
        <v>166</v>
      </c>
      <c r="K577" s="4">
        <v>12</v>
      </c>
      <c r="L577" s="38">
        <v>53.11</v>
      </c>
      <c r="M577" s="6">
        <v>0</v>
      </c>
      <c r="N577" s="38">
        <v>637.32000000000005</v>
      </c>
      <c r="O577" s="38">
        <v>0</v>
      </c>
      <c r="P577" s="54">
        <v>637.32000000000005</v>
      </c>
      <c r="Q577" s="38">
        <v>392.36</v>
      </c>
      <c r="R577" s="38">
        <v>244.96</v>
      </c>
      <c r="S577" s="6">
        <v>38.4</v>
      </c>
      <c r="T577" s="4" t="s">
        <v>44</v>
      </c>
      <c r="U577" s="16">
        <v>3</v>
      </c>
    </row>
    <row r="578" spans="1:21" x14ac:dyDescent="0.3">
      <c r="A578" s="13" t="s">
        <v>892</v>
      </c>
      <c r="B578" s="45">
        <v>45504</v>
      </c>
      <c r="C578" s="1" t="s">
        <v>813</v>
      </c>
      <c r="D578" s="41" t="s">
        <v>1375</v>
      </c>
      <c r="E578" s="1">
        <v>2024</v>
      </c>
      <c r="F578" s="1" t="s">
        <v>22</v>
      </c>
      <c r="G578" s="60" t="s">
        <v>122</v>
      </c>
      <c r="H578" s="2" t="s">
        <v>50</v>
      </c>
      <c r="I578" s="2" t="s">
        <v>75</v>
      </c>
      <c r="J578" s="2" t="s">
        <v>96</v>
      </c>
      <c r="K578" s="1">
        <v>3</v>
      </c>
      <c r="L578" s="37">
        <v>298.48</v>
      </c>
      <c r="M578" s="3">
        <v>0</v>
      </c>
      <c r="N578" s="37">
        <v>895.44</v>
      </c>
      <c r="O578" s="37">
        <v>0</v>
      </c>
      <c r="P578" s="53">
        <v>895.44</v>
      </c>
      <c r="Q578" s="37">
        <v>396.51</v>
      </c>
      <c r="R578" s="37">
        <v>498.93</v>
      </c>
      <c r="S578" s="3">
        <v>55.7</v>
      </c>
      <c r="T578" s="1" t="s">
        <v>27</v>
      </c>
      <c r="U578" s="15">
        <v>5</v>
      </c>
    </row>
    <row r="579" spans="1:21" x14ac:dyDescent="0.3">
      <c r="A579" s="14" t="s">
        <v>893</v>
      </c>
      <c r="B579" s="46">
        <v>45504</v>
      </c>
      <c r="C579" s="4" t="s">
        <v>813</v>
      </c>
      <c r="D579" s="42" t="s">
        <v>1375</v>
      </c>
      <c r="E579" s="4">
        <v>2024</v>
      </c>
      <c r="F579" s="4" t="s">
        <v>29</v>
      </c>
      <c r="G579" s="61" t="s">
        <v>23</v>
      </c>
      <c r="H579" s="5" t="s">
        <v>37</v>
      </c>
      <c r="I579" s="5" t="s">
        <v>55</v>
      </c>
      <c r="J579" s="5" t="s">
        <v>115</v>
      </c>
      <c r="K579" s="4">
        <v>19</v>
      </c>
      <c r="L579" s="38">
        <v>1158.3499999999999</v>
      </c>
      <c r="M579" s="6">
        <v>10</v>
      </c>
      <c r="N579" s="38">
        <v>22008.65</v>
      </c>
      <c r="O579" s="38">
        <v>2200.87</v>
      </c>
      <c r="P579" s="54">
        <v>19807.78</v>
      </c>
      <c r="Q579" s="38">
        <v>8402.84</v>
      </c>
      <c r="R579" s="38">
        <v>11404.94</v>
      </c>
      <c r="S579" s="6">
        <v>57.6</v>
      </c>
      <c r="T579" s="4" t="s">
        <v>44</v>
      </c>
      <c r="U579" s="16">
        <v>2</v>
      </c>
    </row>
    <row r="580" spans="1:21" x14ac:dyDescent="0.3">
      <c r="A580" s="13" t="s">
        <v>894</v>
      </c>
      <c r="B580" s="45">
        <v>45505</v>
      </c>
      <c r="C580" s="1" t="s">
        <v>895</v>
      </c>
      <c r="D580" s="41" t="s">
        <v>1375</v>
      </c>
      <c r="E580" s="1">
        <v>2024</v>
      </c>
      <c r="F580" s="1" t="s">
        <v>53</v>
      </c>
      <c r="G580" s="60" t="s">
        <v>122</v>
      </c>
      <c r="H580" s="2" t="s">
        <v>37</v>
      </c>
      <c r="I580" s="2" t="s">
        <v>55</v>
      </c>
      <c r="J580" s="2" t="s">
        <v>56</v>
      </c>
      <c r="K580" s="1">
        <v>19</v>
      </c>
      <c r="L580" s="37">
        <v>480.63</v>
      </c>
      <c r="M580" s="3">
        <v>0</v>
      </c>
      <c r="N580" s="37">
        <v>9131.9699999999993</v>
      </c>
      <c r="O580" s="37">
        <v>0</v>
      </c>
      <c r="P580" s="53">
        <v>9131.9699999999993</v>
      </c>
      <c r="Q580" s="37">
        <v>3974.71</v>
      </c>
      <c r="R580" s="37">
        <v>5157.26</v>
      </c>
      <c r="S580" s="3">
        <v>56.5</v>
      </c>
      <c r="T580" s="1" t="s">
        <v>44</v>
      </c>
      <c r="U580" s="15">
        <v>4</v>
      </c>
    </row>
    <row r="581" spans="1:21" x14ac:dyDescent="0.3">
      <c r="A581" s="14" t="s">
        <v>896</v>
      </c>
      <c r="B581" s="46">
        <v>45506</v>
      </c>
      <c r="C581" s="4" t="s">
        <v>895</v>
      </c>
      <c r="D581" s="42" t="s">
        <v>1375</v>
      </c>
      <c r="E581" s="4">
        <v>2024</v>
      </c>
      <c r="F581" s="4" t="s">
        <v>41</v>
      </c>
      <c r="G581" s="61" t="s">
        <v>66</v>
      </c>
      <c r="H581" s="5" t="s">
        <v>50</v>
      </c>
      <c r="I581" s="5" t="s">
        <v>55</v>
      </c>
      <c r="J581" s="5" t="s">
        <v>897</v>
      </c>
      <c r="K581" s="4">
        <v>9</v>
      </c>
      <c r="L581" s="38">
        <v>1075.03</v>
      </c>
      <c r="M581" s="6">
        <v>10</v>
      </c>
      <c r="N581" s="38">
        <v>9675.27</v>
      </c>
      <c r="O581" s="38">
        <v>967.53</v>
      </c>
      <c r="P581" s="54">
        <v>8707.74</v>
      </c>
      <c r="Q581" s="38">
        <v>4684.28</v>
      </c>
      <c r="R581" s="38">
        <v>4023.46</v>
      </c>
      <c r="S581" s="6">
        <v>46.2</v>
      </c>
      <c r="T581" s="4" t="s">
        <v>33</v>
      </c>
      <c r="U581" s="16">
        <v>2</v>
      </c>
    </row>
    <row r="582" spans="1:21" x14ac:dyDescent="0.3">
      <c r="A582" s="13" t="s">
        <v>898</v>
      </c>
      <c r="B582" s="45">
        <v>45506</v>
      </c>
      <c r="C582" s="1" t="s">
        <v>895</v>
      </c>
      <c r="D582" s="41" t="s">
        <v>1375</v>
      </c>
      <c r="E582" s="1">
        <v>2024</v>
      </c>
      <c r="F582" s="1" t="s">
        <v>35</v>
      </c>
      <c r="G582" s="60" t="s">
        <v>91</v>
      </c>
      <c r="H582" s="2" t="s">
        <v>50</v>
      </c>
      <c r="I582" s="2" t="s">
        <v>55</v>
      </c>
      <c r="J582" s="2" t="s">
        <v>655</v>
      </c>
      <c r="K582" s="1">
        <v>3</v>
      </c>
      <c r="L582" s="37">
        <v>565.82000000000005</v>
      </c>
      <c r="M582" s="3">
        <v>15</v>
      </c>
      <c r="N582" s="37">
        <v>1697.46</v>
      </c>
      <c r="O582" s="37">
        <v>254.62</v>
      </c>
      <c r="P582" s="53">
        <v>1442.84</v>
      </c>
      <c r="Q582" s="37">
        <v>561.82000000000005</v>
      </c>
      <c r="R582" s="37">
        <v>881.02</v>
      </c>
      <c r="S582" s="3">
        <v>61.1</v>
      </c>
      <c r="T582" s="1" t="s">
        <v>33</v>
      </c>
      <c r="U582" s="15">
        <v>1</v>
      </c>
    </row>
    <row r="583" spans="1:21" x14ac:dyDescent="0.3">
      <c r="A583" s="14" t="s">
        <v>899</v>
      </c>
      <c r="B583" s="46">
        <v>45506</v>
      </c>
      <c r="C583" s="4" t="s">
        <v>895</v>
      </c>
      <c r="D583" s="42" t="s">
        <v>1375</v>
      </c>
      <c r="E583" s="4">
        <v>2024</v>
      </c>
      <c r="F583" s="4" t="s">
        <v>35</v>
      </c>
      <c r="G583" s="61" t="s">
        <v>91</v>
      </c>
      <c r="H583" s="5" t="s">
        <v>50</v>
      </c>
      <c r="I583" s="5" t="s">
        <v>75</v>
      </c>
      <c r="J583" s="5" t="s">
        <v>361</v>
      </c>
      <c r="K583" s="4">
        <v>1</v>
      </c>
      <c r="L583" s="38">
        <v>368.92</v>
      </c>
      <c r="M583" s="6">
        <v>5</v>
      </c>
      <c r="N583" s="38">
        <v>368.92</v>
      </c>
      <c r="O583" s="38">
        <v>18.45</v>
      </c>
      <c r="P583" s="54">
        <v>350.47</v>
      </c>
      <c r="Q583" s="38">
        <v>210.83</v>
      </c>
      <c r="R583" s="38">
        <v>139.63999999999999</v>
      </c>
      <c r="S583" s="6">
        <v>39.799999999999997</v>
      </c>
      <c r="T583" s="4" t="s">
        <v>33</v>
      </c>
      <c r="U583" s="16">
        <v>2</v>
      </c>
    </row>
    <row r="584" spans="1:21" x14ac:dyDescent="0.3">
      <c r="A584" s="13" t="s">
        <v>900</v>
      </c>
      <c r="B584" s="45">
        <v>45507</v>
      </c>
      <c r="C584" s="1" t="s">
        <v>895</v>
      </c>
      <c r="D584" s="41" t="s">
        <v>1375</v>
      </c>
      <c r="E584" s="1">
        <v>2024</v>
      </c>
      <c r="F584" s="1" t="s">
        <v>41</v>
      </c>
      <c r="G584" s="60" t="s">
        <v>42</v>
      </c>
      <c r="H584" s="2" t="s">
        <v>50</v>
      </c>
      <c r="I584" s="2" t="s">
        <v>55</v>
      </c>
      <c r="J584" s="2" t="s">
        <v>901</v>
      </c>
      <c r="K584" s="1">
        <v>3</v>
      </c>
      <c r="L584" s="37">
        <v>484.12</v>
      </c>
      <c r="M584" s="3">
        <v>5</v>
      </c>
      <c r="N584" s="37">
        <v>1452.36</v>
      </c>
      <c r="O584" s="37">
        <v>72.62</v>
      </c>
      <c r="P584" s="53">
        <v>1379.74</v>
      </c>
      <c r="Q584" s="37">
        <v>494.74</v>
      </c>
      <c r="R584" s="37">
        <v>885</v>
      </c>
      <c r="S584" s="3">
        <v>64.099999999999994</v>
      </c>
      <c r="T584" s="1" t="s">
        <v>44</v>
      </c>
      <c r="U584" s="15">
        <v>5</v>
      </c>
    </row>
    <row r="585" spans="1:21" x14ac:dyDescent="0.3">
      <c r="A585" s="14" t="s">
        <v>902</v>
      </c>
      <c r="B585" s="46">
        <v>45507</v>
      </c>
      <c r="C585" s="4" t="s">
        <v>895</v>
      </c>
      <c r="D585" s="42" t="s">
        <v>1375</v>
      </c>
      <c r="E585" s="4">
        <v>2024</v>
      </c>
      <c r="F585" s="4" t="s">
        <v>29</v>
      </c>
      <c r="G585" s="61" t="s">
        <v>30</v>
      </c>
      <c r="H585" s="5" t="s">
        <v>24</v>
      </c>
      <c r="I585" s="5" t="s">
        <v>38</v>
      </c>
      <c r="J585" s="5" t="s">
        <v>265</v>
      </c>
      <c r="K585" s="4">
        <v>7</v>
      </c>
      <c r="L585" s="38">
        <v>11.02</v>
      </c>
      <c r="M585" s="6">
        <v>20</v>
      </c>
      <c r="N585" s="38">
        <v>77.14</v>
      </c>
      <c r="O585" s="38">
        <v>15.43</v>
      </c>
      <c r="P585" s="54">
        <v>61.71</v>
      </c>
      <c r="Q585" s="38">
        <v>33.880000000000003</v>
      </c>
      <c r="R585" s="38">
        <v>27.83</v>
      </c>
      <c r="S585" s="6">
        <v>45.1</v>
      </c>
      <c r="T585" s="4" t="s">
        <v>44</v>
      </c>
      <c r="U585" s="16">
        <v>1</v>
      </c>
    </row>
    <row r="586" spans="1:21" x14ac:dyDescent="0.3">
      <c r="A586" s="13" t="s">
        <v>903</v>
      </c>
      <c r="B586" s="45">
        <v>45507</v>
      </c>
      <c r="C586" s="1" t="s">
        <v>895</v>
      </c>
      <c r="D586" s="41" t="s">
        <v>1375</v>
      </c>
      <c r="E586" s="1">
        <v>2024</v>
      </c>
      <c r="F586" s="1" t="s">
        <v>41</v>
      </c>
      <c r="G586" s="60" t="s">
        <v>42</v>
      </c>
      <c r="H586" s="2" t="s">
        <v>59</v>
      </c>
      <c r="I586" s="2" t="s">
        <v>38</v>
      </c>
      <c r="J586" s="2" t="s">
        <v>364</v>
      </c>
      <c r="K586" s="1">
        <v>15</v>
      </c>
      <c r="L586" s="37">
        <v>77.31</v>
      </c>
      <c r="M586" s="3">
        <v>0</v>
      </c>
      <c r="N586" s="37">
        <v>1159.6500000000001</v>
      </c>
      <c r="O586" s="37">
        <v>0</v>
      </c>
      <c r="P586" s="53">
        <v>1159.6500000000001</v>
      </c>
      <c r="Q586" s="37">
        <v>705.2</v>
      </c>
      <c r="R586" s="37">
        <v>454.45</v>
      </c>
      <c r="S586" s="3">
        <v>39.200000000000003</v>
      </c>
      <c r="T586" s="1" t="s">
        <v>44</v>
      </c>
      <c r="U586" s="15">
        <v>5</v>
      </c>
    </row>
    <row r="587" spans="1:21" x14ac:dyDescent="0.3">
      <c r="A587" s="14" t="s">
        <v>904</v>
      </c>
      <c r="B587" s="46">
        <v>45507</v>
      </c>
      <c r="C587" s="4" t="s">
        <v>895</v>
      </c>
      <c r="D587" s="42" t="s">
        <v>1375</v>
      </c>
      <c r="E587" s="4">
        <v>2024</v>
      </c>
      <c r="F587" s="4" t="s">
        <v>53</v>
      </c>
      <c r="G587" s="61" t="s">
        <v>36</v>
      </c>
      <c r="H587" s="5" t="s">
        <v>50</v>
      </c>
      <c r="I587" s="5" t="s">
        <v>47</v>
      </c>
      <c r="J587" s="5" t="s">
        <v>109</v>
      </c>
      <c r="K587" s="4">
        <v>5</v>
      </c>
      <c r="L587" s="38">
        <v>439.79</v>
      </c>
      <c r="M587" s="6">
        <v>0</v>
      </c>
      <c r="N587" s="38">
        <v>2198.9499999999998</v>
      </c>
      <c r="O587" s="38">
        <v>0</v>
      </c>
      <c r="P587" s="54">
        <v>2198.9499999999998</v>
      </c>
      <c r="Q587" s="38">
        <v>984.16</v>
      </c>
      <c r="R587" s="38">
        <v>1214.79</v>
      </c>
      <c r="S587" s="6">
        <v>55.2</v>
      </c>
      <c r="T587" s="4" t="s">
        <v>44</v>
      </c>
      <c r="U587" s="16">
        <v>4</v>
      </c>
    </row>
    <row r="588" spans="1:21" x14ac:dyDescent="0.3">
      <c r="A588" s="13" t="s">
        <v>905</v>
      </c>
      <c r="B588" s="45">
        <v>45508</v>
      </c>
      <c r="C588" s="1" t="s">
        <v>895</v>
      </c>
      <c r="D588" s="41" t="s">
        <v>1375</v>
      </c>
      <c r="E588" s="1">
        <v>2024</v>
      </c>
      <c r="F588" s="1" t="s">
        <v>53</v>
      </c>
      <c r="G588" s="60" t="s">
        <v>54</v>
      </c>
      <c r="H588" s="2" t="s">
        <v>37</v>
      </c>
      <c r="I588" s="2" t="s">
        <v>31</v>
      </c>
      <c r="J588" s="2" t="s">
        <v>288</v>
      </c>
      <c r="K588" s="1">
        <v>3</v>
      </c>
      <c r="L588" s="37">
        <v>39.6</v>
      </c>
      <c r="M588" s="3">
        <v>5</v>
      </c>
      <c r="N588" s="37">
        <v>118.8</v>
      </c>
      <c r="O588" s="37">
        <v>5.94</v>
      </c>
      <c r="P588" s="53">
        <v>112.86</v>
      </c>
      <c r="Q588" s="37">
        <v>55.62</v>
      </c>
      <c r="R588" s="37">
        <v>57.24</v>
      </c>
      <c r="S588" s="3">
        <v>50.7</v>
      </c>
      <c r="T588" s="1" t="s">
        <v>44</v>
      </c>
      <c r="U588" s="15">
        <v>3</v>
      </c>
    </row>
    <row r="589" spans="1:21" x14ac:dyDescent="0.3">
      <c r="A589" s="14" t="s">
        <v>906</v>
      </c>
      <c r="B589" s="46">
        <v>45508</v>
      </c>
      <c r="C589" s="4" t="s">
        <v>895</v>
      </c>
      <c r="D589" s="42" t="s">
        <v>1375</v>
      </c>
      <c r="E589" s="4">
        <v>2024</v>
      </c>
      <c r="F589" s="4" t="s">
        <v>22</v>
      </c>
      <c r="G589" s="61" t="s">
        <v>30</v>
      </c>
      <c r="H589" s="5" t="s">
        <v>59</v>
      </c>
      <c r="I589" s="5" t="s">
        <v>25</v>
      </c>
      <c r="J589" s="5" t="s">
        <v>714</v>
      </c>
      <c r="K589" s="4">
        <v>11</v>
      </c>
      <c r="L589" s="38">
        <v>130.44</v>
      </c>
      <c r="M589" s="6">
        <v>5</v>
      </c>
      <c r="N589" s="38">
        <v>1434.84</v>
      </c>
      <c r="O589" s="38">
        <v>71.739999999999995</v>
      </c>
      <c r="P589" s="54">
        <v>1363.1</v>
      </c>
      <c r="Q589" s="38">
        <v>875.78</v>
      </c>
      <c r="R589" s="38">
        <v>487.32</v>
      </c>
      <c r="S589" s="6">
        <v>35.799999999999997</v>
      </c>
      <c r="T589" s="4" t="s">
        <v>27</v>
      </c>
      <c r="U589" s="16">
        <v>5</v>
      </c>
    </row>
    <row r="590" spans="1:21" x14ac:dyDescent="0.3">
      <c r="A590" s="13" t="s">
        <v>907</v>
      </c>
      <c r="B590" s="45">
        <v>45508</v>
      </c>
      <c r="C590" s="1" t="s">
        <v>895</v>
      </c>
      <c r="D590" s="41" t="s">
        <v>1375</v>
      </c>
      <c r="E590" s="1">
        <v>2024</v>
      </c>
      <c r="F590" s="1" t="s">
        <v>41</v>
      </c>
      <c r="G590" s="60" t="s">
        <v>58</v>
      </c>
      <c r="H590" s="2" t="s">
        <v>59</v>
      </c>
      <c r="I590" s="2" t="s">
        <v>55</v>
      </c>
      <c r="J590" s="2" t="s">
        <v>399</v>
      </c>
      <c r="K590" s="1">
        <v>4</v>
      </c>
      <c r="L590" s="37">
        <v>186.43</v>
      </c>
      <c r="M590" s="3">
        <v>20</v>
      </c>
      <c r="N590" s="37">
        <v>745.72</v>
      </c>
      <c r="O590" s="37">
        <v>149.13999999999999</v>
      </c>
      <c r="P590" s="53">
        <v>596.58000000000004</v>
      </c>
      <c r="Q590" s="37">
        <v>305.55</v>
      </c>
      <c r="R590" s="37">
        <v>291.02999999999997</v>
      </c>
      <c r="S590" s="3">
        <v>48.8</v>
      </c>
      <c r="T590" s="1" t="s">
        <v>44</v>
      </c>
      <c r="U590" s="15">
        <v>2</v>
      </c>
    </row>
    <row r="591" spans="1:21" x14ac:dyDescent="0.3">
      <c r="A591" s="14" t="s">
        <v>908</v>
      </c>
      <c r="B591" s="46">
        <v>45508</v>
      </c>
      <c r="C591" s="4" t="s">
        <v>895</v>
      </c>
      <c r="D591" s="42" t="s">
        <v>1375</v>
      </c>
      <c r="E591" s="4">
        <v>2024</v>
      </c>
      <c r="F591" s="4" t="s">
        <v>35</v>
      </c>
      <c r="G591" s="61" t="s">
        <v>54</v>
      </c>
      <c r="H591" s="5" t="s">
        <v>59</v>
      </c>
      <c r="I591" s="5" t="s">
        <v>25</v>
      </c>
      <c r="J591" s="5" t="s">
        <v>714</v>
      </c>
      <c r="K591" s="4">
        <v>2</v>
      </c>
      <c r="L591" s="38">
        <v>149</v>
      </c>
      <c r="M591" s="6">
        <v>10</v>
      </c>
      <c r="N591" s="38">
        <v>298</v>
      </c>
      <c r="O591" s="38">
        <v>29.8</v>
      </c>
      <c r="P591" s="54">
        <v>268.2</v>
      </c>
      <c r="Q591" s="38">
        <v>115.79</v>
      </c>
      <c r="R591" s="38">
        <v>152.41</v>
      </c>
      <c r="S591" s="6">
        <v>56.8</v>
      </c>
      <c r="T591" s="4" t="s">
        <v>44</v>
      </c>
      <c r="U591" s="16">
        <v>3</v>
      </c>
    </row>
    <row r="592" spans="1:21" x14ac:dyDescent="0.3">
      <c r="A592" s="13" t="s">
        <v>909</v>
      </c>
      <c r="B592" s="45">
        <v>45508</v>
      </c>
      <c r="C592" s="1" t="s">
        <v>895</v>
      </c>
      <c r="D592" s="41" t="s">
        <v>1375</v>
      </c>
      <c r="E592" s="1">
        <v>2024</v>
      </c>
      <c r="F592" s="1" t="s">
        <v>22</v>
      </c>
      <c r="G592" s="60" t="s">
        <v>42</v>
      </c>
      <c r="H592" s="2" t="s">
        <v>24</v>
      </c>
      <c r="I592" s="2" t="s">
        <v>25</v>
      </c>
      <c r="J592" s="2" t="s">
        <v>414</v>
      </c>
      <c r="K592" s="1">
        <v>15</v>
      </c>
      <c r="L592" s="37">
        <v>65.03</v>
      </c>
      <c r="M592" s="3">
        <v>5</v>
      </c>
      <c r="N592" s="37">
        <v>975.45</v>
      </c>
      <c r="O592" s="37">
        <v>48.77</v>
      </c>
      <c r="P592" s="53">
        <v>926.68</v>
      </c>
      <c r="Q592" s="37">
        <v>448.01</v>
      </c>
      <c r="R592" s="37">
        <v>478.67</v>
      </c>
      <c r="S592" s="3">
        <v>51.7</v>
      </c>
      <c r="T592" s="1" t="s">
        <v>44</v>
      </c>
      <c r="U592" s="15">
        <v>2</v>
      </c>
    </row>
    <row r="593" spans="1:21" x14ac:dyDescent="0.3">
      <c r="A593" s="14" t="s">
        <v>910</v>
      </c>
      <c r="B593" s="46">
        <v>45508</v>
      </c>
      <c r="C593" s="4" t="s">
        <v>895</v>
      </c>
      <c r="D593" s="42" t="s">
        <v>1375</v>
      </c>
      <c r="E593" s="4">
        <v>2024</v>
      </c>
      <c r="F593" s="4" t="s">
        <v>41</v>
      </c>
      <c r="G593" s="61" t="s">
        <v>122</v>
      </c>
      <c r="H593" s="5" t="s">
        <v>24</v>
      </c>
      <c r="I593" s="5" t="s">
        <v>25</v>
      </c>
      <c r="J593" s="5" t="s">
        <v>94</v>
      </c>
      <c r="K593" s="4">
        <v>2</v>
      </c>
      <c r="L593" s="38">
        <v>27.83</v>
      </c>
      <c r="M593" s="6">
        <v>0</v>
      </c>
      <c r="N593" s="38">
        <v>55.66</v>
      </c>
      <c r="O593" s="38">
        <v>0</v>
      </c>
      <c r="P593" s="54">
        <v>55.66</v>
      </c>
      <c r="Q593" s="38">
        <v>35.67</v>
      </c>
      <c r="R593" s="38">
        <v>19.989999999999998</v>
      </c>
      <c r="S593" s="6">
        <v>35.9</v>
      </c>
      <c r="T593" s="4" t="s">
        <v>33</v>
      </c>
      <c r="U593" s="16">
        <v>1</v>
      </c>
    </row>
    <row r="594" spans="1:21" x14ac:dyDescent="0.3">
      <c r="A594" s="13" t="s">
        <v>911</v>
      </c>
      <c r="B594" s="45">
        <v>45508</v>
      </c>
      <c r="C594" s="1" t="s">
        <v>895</v>
      </c>
      <c r="D594" s="41" t="s">
        <v>1375</v>
      </c>
      <c r="E594" s="1">
        <v>2024</v>
      </c>
      <c r="F594" s="1" t="s">
        <v>41</v>
      </c>
      <c r="G594" s="60" t="s">
        <v>122</v>
      </c>
      <c r="H594" s="2" t="s">
        <v>50</v>
      </c>
      <c r="I594" s="2" t="s">
        <v>47</v>
      </c>
      <c r="J594" s="2" t="s">
        <v>340</v>
      </c>
      <c r="K594" s="1">
        <v>6</v>
      </c>
      <c r="L594" s="37">
        <v>489.79</v>
      </c>
      <c r="M594" s="3">
        <v>20</v>
      </c>
      <c r="N594" s="37">
        <v>2938.74</v>
      </c>
      <c r="O594" s="37">
        <v>587.75</v>
      </c>
      <c r="P594" s="53">
        <v>2350.9899999999998</v>
      </c>
      <c r="Q594" s="37">
        <v>1314.88</v>
      </c>
      <c r="R594" s="37">
        <v>1036.1099999999999</v>
      </c>
      <c r="S594" s="3">
        <v>44.1</v>
      </c>
      <c r="T594" s="1" t="s">
        <v>44</v>
      </c>
      <c r="U594" s="15">
        <v>1</v>
      </c>
    </row>
    <row r="595" spans="1:21" x14ac:dyDescent="0.3">
      <c r="A595" s="14" t="s">
        <v>912</v>
      </c>
      <c r="B595" s="46">
        <v>45508</v>
      </c>
      <c r="C595" s="4" t="s">
        <v>895</v>
      </c>
      <c r="D595" s="42" t="s">
        <v>1375</v>
      </c>
      <c r="E595" s="4">
        <v>2024</v>
      </c>
      <c r="F595" s="4" t="s">
        <v>35</v>
      </c>
      <c r="G595" s="61" t="s">
        <v>91</v>
      </c>
      <c r="H595" s="5" t="s">
        <v>37</v>
      </c>
      <c r="I595" s="5" t="s">
        <v>38</v>
      </c>
      <c r="J595" s="5" t="s">
        <v>315</v>
      </c>
      <c r="K595" s="4">
        <v>19</v>
      </c>
      <c r="L595" s="38">
        <v>67.61</v>
      </c>
      <c r="M595" s="6">
        <v>5</v>
      </c>
      <c r="N595" s="38">
        <v>1284.5899999999999</v>
      </c>
      <c r="O595" s="38">
        <v>64.23</v>
      </c>
      <c r="P595" s="54">
        <v>1220.3599999999999</v>
      </c>
      <c r="Q595" s="38">
        <v>491.94</v>
      </c>
      <c r="R595" s="38">
        <v>728.42</v>
      </c>
      <c r="S595" s="6">
        <v>59.7</v>
      </c>
      <c r="T595" s="4" t="s">
        <v>44</v>
      </c>
      <c r="U595" s="16">
        <v>1</v>
      </c>
    </row>
    <row r="596" spans="1:21" x14ac:dyDescent="0.3">
      <c r="A596" s="13" t="s">
        <v>913</v>
      </c>
      <c r="B596" s="45">
        <v>45509</v>
      </c>
      <c r="C596" s="1" t="s">
        <v>895</v>
      </c>
      <c r="D596" s="41" t="s">
        <v>1375</v>
      </c>
      <c r="E596" s="1">
        <v>2024</v>
      </c>
      <c r="F596" s="1" t="s">
        <v>29</v>
      </c>
      <c r="G596" s="60" t="s">
        <v>91</v>
      </c>
      <c r="H596" s="2" t="s">
        <v>50</v>
      </c>
      <c r="I596" s="2" t="s">
        <v>55</v>
      </c>
      <c r="J596" s="2" t="s">
        <v>133</v>
      </c>
      <c r="K596" s="1">
        <v>14</v>
      </c>
      <c r="L596" s="37">
        <v>919.61</v>
      </c>
      <c r="M596" s="3">
        <v>5</v>
      </c>
      <c r="N596" s="37">
        <v>12874.54</v>
      </c>
      <c r="O596" s="37">
        <v>643.73</v>
      </c>
      <c r="P596" s="53">
        <v>12230.81</v>
      </c>
      <c r="Q596" s="37">
        <v>6473.47</v>
      </c>
      <c r="R596" s="37">
        <v>5757.34</v>
      </c>
      <c r="S596" s="3">
        <v>47.1</v>
      </c>
      <c r="T596" s="1" t="s">
        <v>44</v>
      </c>
      <c r="U596" s="15">
        <v>4</v>
      </c>
    </row>
    <row r="597" spans="1:21" x14ac:dyDescent="0.3">
      <c r="A597" s="14" t="s">
        <v>914</v>
      </c>
      <c r="B597" s="46">
        <v>45509</v>
      </c>
      <c r="C597" s="4" t="s">
        <v>895</v>
      </c>
      <c r="D597" s="42" t="s">
        <v>1375</v>
      </c>
      <c r="E597" s="4">
        <v>2024</v>
      </c>
      <c r="F597" s="4" t="s">
        <v>41</v>
      </c>
      <c r="G597" s="61" t="s">
        <v>122</v>
      </c>
      <c r="H597" s="5" t="s">
        <v>59</v>
      </c>
      <c r="I597" s="5" t="s">
        <v>75</v>
      </c>
      <c r="J597" s="5" t="s">
        <v>142</v>
      </c>
      <c r="K597" s="4">
        <v>13</v>
      </c>
      <c r="L597" s="38">
        <v>391.93</v>
      </c>
      <c r="M597" s="6">
        <v>0</v>
      </c>
      <c r="N597" s="38">
        <v>5095.09</v>
      </c>
      <c r="O597" s="38">
        <v>0</v>
      </c>
      <c r="P597" s="54">
        <v>5095.09</v>
      </c>
      <c r="Q597" s="38">
        <v>2747.85</v>
      </c>
      <c r="R597" s="38">
        <v>2347.2399999999998</v>
      </c>
      <c r="S597" s="6">
        <v>46.1</v>
      </c>
      <c r="T597" s="4" t="s">
        <v>44</v>
      </c>
      <c r="U597" s="16">
        <v>1</v>
      </c>
    </row>
    <row r="598" spans="1:21" x14ac:dyDescent="0.3">
      <c r="A598" s="13" t="s">
        <v>915</v>
      </c>
      <c r="B598" s="45">
        <v>45509</v>
      </c>
      <c r="C598" s="1" t="s">
        <v>895</v>
      </c>
      <c r="D598" s="41" t="s">
        <v>1375</v>
      </c>
      <c r="E598" s="1">
        <v>2024</v>
      </c>
      <c r="F598" s="1" t="s">
        <v>22</v>
      </c>
      <c r="G598" s="60" t="s">
        <v>30</v>
      </c>
      <c r="H598" s="2" t="s">
        <v>50</v>
      </c>
      <c r="I598" s="2" t="s">
        <v>47</v>
      </c>
      <c r="J598" s="2" t="s">
        <v>882</v>
      </c>
      <c r="K598" s="1">
        <v>16</v>
      </c>
      <c r="L598" s="37">
        <v>242.24</v>
      </c>
      <c r="M598" s="3">
        <v>0</v>
      </c>
      <c r="N598" s="37">
        <v>3875.84</v>
      </c>
      <c r="O598" s="37">
        <v>0</v>
      </c>
      <c r="P598" s="53">
        <v>3875.84</v>
      </c>
      <c r="Q598" s="37">
        <v>2095.88</v>
      </c>
      <c r="R598" s="37">
        <v>1779.96</v>
      </c>
      <c r="S598" s="3">
        <v>45.9</v>
      </c>
      <c r="T598" s="1" t="s">
        <v>27</v>
      </c>
      <c r="U598" s="15">
        <v>5</v>
      </c>
    </row>
    <row r="599" spans="1:21" x14ac:dyDescent="0.3">
      <c r="A599" s="14" t="s">
        <v>916</v>
      </c>
      <c r="B599" s="46">
        <v>45510</v>
      </c>
      <c r="C599" s="4" t="s">
        <v>895</v>
      </c>
      <c r="D599" s="42" t="s">
        <v>1375</v>
      </c>
      <c r="E599" s="4">
        <v>2024</v>
      </c>
      <c r="F599" s="4" t="s">
        <v>35</v>
      </c>
      <c r="G599" s="61" t="s">
        <v>42</v>
      </c>
      <c r="H599" s="5" t="s">
        <v>59</v>
      </c>
      <c r="I599" s="5" t="s">
        <v>38</v>
      </c>
      <c r="J599" s="5" t="s">
        <v>917</v>
      </c>
      <c r="K599" s="4">
        <v>1</v>
      </c>
      <c r="L599" s="38">
        <v>58.93</v>
      </c>
      <c r="M599" s="6">
        <v>5</v>
      </c>
      <c r="N599" s="38">
        <v>58.93</v>
      </c>
      <c r="O599" s="38">
        <v>2.95</v>
      </c>
      <c r="P599" s="54">
        <v>55.98</v>
      </c>
      <c r="Q599" s="38">
        <v>29.06</v>
      </c>
      <c r="R599" s="38">
        <v>26.92</v>
      </c>
      <c r="S599" s="6">
        <v>48.1</v>
      </c>
      <c r="T599" s="4" t="s">
        <v>33</v>
      </c>
      <c r="U599" s="16">
        <v>2</v>
      </c>
    </row>
    <row r="600" spans="1:21" x14ac:dyDescent="0.3">
      <c r="A600" s="13" t="s">
        <v>918</v>
      </c>
      <c r="B600" s="45">
        <v>45510</v>
      </c>
      <c r="C600" s="1" t="s">
        <v>895</v>
      </c>
      <c r="D600" s="41" t="s">
        <v>1375</v>
      </c>
      <c r="E600" s="1">
        <v>2024</v>
      </c>
      <c r="F600" s="1" t="s">
        <v>53</v>
      </c>
      <c r="G600" s="60" t="s">
        <v>58</v>
      </c>
      <c r="H600" s="2" t="s">
        <v>37</v>
      </c>
      <c r="I600" s="2" t="s">
        <v>75</v>
      </c>
      <c r="J600" s="2" t="s">
        <v>824</v>
      </c>
      <c r="K600" s="1">
        <v>13</v>
      </c>
      <c r="L600" s="37">
        <v>184.05</v>
      </c>
      <c r="M600" s="3">
        <v>15</v>
      </c>
      <c r="N600" s="37">
        <v>2392.65</v>
      </c>
      <c r="O600" s="37">
        <v>358.9</v>
      </c>
      <c r="P600" s="53">
        <v>2033.75</v>
      </c>
      <c r="Q600" s="37">
        <v>1031.19</v>
      </c>
      <c r="R600" s="37">
        <v>1002.56</v>
      </c>
      <c r="S600" s="3">
        <v>49.3</v>
      </c>
      <c r="T600" s="1" t="s">
        <v>44</v>
      </c>
      <c r="U600" s="15">
        <v>1</v>
      </c>
    </row>
    <row r="601" spans="1:21" x14ac:dyDescent="0.3">
      <c r="A601" s="14" t="s">
        <v>919</v>
      </c>
      <c r="B601" s="46">
        <v>45511</v>
      </c>
      <c r="C601" s="4" t="s">
        <v>895</v>
      </c>
      <c r="D601" s="42" t="s">
        <v>1375</v>
      </c>
      <c r="E601" s="4">
        <v>2024</v>
      </c>
      <c r="F601" s="4" t="s">
        <v>29</v>
      </c>
      <c r="G601" s="61" t="s">
        <v>122</v>
      </c>
      <c r="H601" s="5" t="s">
        <v>59</v>
      </c>
      <c r="I601" s="5" t="s">
        <v>38</v>
      </c>
      <c r="J601" s="5" t="s">
        <v>265</v>
      </c>
      <c r="K601" s="4">
        <v>14</v>
      </c>
      <c r="L601" s="38">
        <v>33.450000000000003</v>
      </c>
      <c r="M601" s="6">
        <v>15</v>
      </c>
      <c r="N601" s="38">
        <v>468.3</v>
      </c>
      <c r="O601" s="38">
        <v>70.25</v>
      </c>
      <c r="P601" s="54">
        <v>398.05</v>
      </c>
      <c r="Q601" s="38">
        <v>215.69</v>
      </c>
      <c r="R601" s="38">
        <v>182.36</v>
      </c>
      <c r="S601" s="6">
        <v>45.8</v>
      </c>
      <c r="T601" s="4" t="s">
        <v>44</v>
      </c>
      <c r="U601" s="16">
        <v>5</v>
      </c>
    </row>
    <row r="602" spans="1:21" x14ac:dyDescent="0.3">
      <c r="A602" s="13" t="s">
        <v>920</v>
      </c>
      <c r="B602" s="45">
        <v>45511</v>
      </c>
      <c r="C602" s="1" t="s">
        <v>895</v>
      </c>
      <c r="D602" s="41" t="s">
        <v>1375</v>
      </c>
      <c r="E602" s="1">
        <v>2024</v>
      </c>
      <c r="F602" s="1" t="s">
        <v>35</v>
      </c>
      <c r="G602" s="60" t="s">
        <v>54</v>
      </c>
      <c r="H602" s="2" t="s">
        <v>24</v>
      </c>
      <c r="I602" s="2" t="s">
        <v>55</v>
      </c>
      <c r="J602" s="2" t="s">
        <v>438</v>
      </c>
      <c r="K602" s="1">
        <v>6</v>
      </c>
      <c r="L602" s="37">
        <v>314.11</v>
      </c>
      <c r="M602" s="3">
        <v>0</v>
      </c>
      <c r="N602" s="37">
        <v>1884.66</v>
      </c>
      <c r="O602" s="37">
        <v>0</v>
      </c>
      <c r="P602" s="53">
        <v>1884.66</v>
      </c>
      <c r="Q602" s="37">
        <v>834.71</v>
      </c>
      <c r="R602" s="37">
        <v>1049.95</v>
      </c>
      <c r="S602" s="3">
        <v>55.7</v>
      </c>
      <c r="T602" s="1" t="s">
        <v>27</v>
      </c>
      <c r="U602" s="15">
        <v>5</v>
      </c>
    </row>
    <row r="603" spans="1:21" x14ac:dyDescent="0.3">
      <c r="A603" s="14" t="s">
        <v>921</v>
      </c>
      <c r="B603" s="46">
        <v>45511</v>
      </c>
      <c r="C603" s="4" t="s">
        <v>895</v>
      </c>
      <c r="D603" s="42" t="s">
        <v>1375</v>
      </c>
      <c r="E603" s="4">
        <v>2024</v>
      </c>
      <c r="F603" s="4" t="s">
        <v>22</v>
      </c>
      <c r="G603" s="61" t="s">
        <v>66</v>
      </c>
      <c r="H603" s="5" t="s">
        <v>50</v>
      </c>
      <c r="I603" s="5" t="s">
        <v>47</v>
      </c>
      <c r="J603" s="5" t="s">
        <v>644</v>
      </c>
      <c r="K603" s="4">
        <v>12</v>
      </c>
      <c r="L603" s="38">
        <v>241.1</v>
      </c>
      <c r="M603" s="6">
        <v>0</v>
      </c>
      <c r="N603" s="38">
        <v>2893.2</v>
      </c>
      <c r="O603" s="38">
        <v>0</v>
      </c>
      <c r="P603" s="54">
        <v>2893.2</v>
      </c>
      <c r="Q603" s="38">
        <v>1313.95</v>
      </c>
      <c r="R603" s="38">
        <v>1579.25</v>
      </c>
      <c r="S603" s="6">
        <v>54.6</v>
      </c>
      <c r="T603" s="4" t="s">
        <v>44</v>
      </c>
      <c r="U603" s="16">
        <v>1</v>
      </c>
    </row>
    <row r="604" spans="1:21" x14ac:dyDescent="0.3">
      <c r="A604" s="13" t="s">
        <v>922</v>
      </c>
      <c r="B604" s="45">
        <v>45511</v>
      </c>
      <c r="C604" s="1" t="s">
        <v>895</v>
      </c>
      <c r="D604" s="41" t="s">
        <v>1375</v>
      </c>
      <c r="E604" s="1">
        <v>2024</v>
      </c>
      <c r="F604" s="1" t="s">
        <v>41</v>
      </c>
      <c r="G604" s="60" t="s">
        <v>54</v>
      </c>
      <c r="H604" s="2" t="s">
        <v>50</v>
      </c>
      <c r="I604" s="2" t="s">
        <v>25</v>
      </c>
      <c r="J604" s="2" t="s">
        <v>308</v>
      </c>
      <c r="K604" s="1">
        <v>7</v>
      </c>
      <c r="L604" s="37">
        <v>31.72</v>
      </c>
      <c r="M604" s="3">
        <v>5</v>
      </c>
      <c r="N604" s="37">
        <v>222.04</v>
      </c>
      <c r="O604" s="37">
        <v>11.1</v>
      </c>
      <c r="P604" s="53">
        <v>210.94</v>
      </c>
      <c r="Q604" s="37">
        <v>107.98</v>
      </c>
      <c r="R604" s="37">
        <v>102.96</v>
      </c>
      <c r="S604" s="3">
        <v>48.8</v>
      </c>
      <c r="T604" s="1" t="s">
        <v>33</v>
      </c>
      <c r="U604" s="15">
        <v>5</v>
      </c>
    </row>
    <row r="605" spans="1:21" x14ac:dyDescent="0.3">
      <c r="A605" s="14" t="s">
        <v>923</v>
      </c>
      <c r="B605" s="46">
        <v>45512</v>
      </c>
      <c r="C605" s="4" t="s">
        <v>895</v>
      </c>
      <c r="D605" s="42" t="s">
        <v>1375</v>
      </c>
      <c r="E605" s="4">
        <v>2024</v>
      </c>
      <c r="F605" s="4" t="s">
        <v>22</v>
      </c>
      <c r="G605" s="61" t="s">
        <v>42</v>
      </c>
      <c r="H605" s="5" t="s">
        <v>24</v>
      </c>
      <c r="I605" s="5" t="s">
        <v>47</v>
      </c>
      <c r="J605" s="5" t="s">
        <v>511</v>
      </c>
      <c r="K605" s="4">
        <v>6</v>
      </c>
      <c r="L605" s="38">
        <v>110.47</v>
      </c>
      <c r="M605" s="6">
        <v>5</v>
      </c>
      <c r="N605" s="38">
        <v>662.82</v>
      </c>
      <c r="O605" s="38">
        <v>33.14</v>
      </c>
      <c r="P605" s="54">
        <v>629.67999999999995</v>
      </c>
      <c r="Q605" s="38">
        <v>372.4</v>
      </c>
      <c r="R605" s="38">
        <v>257.27999999999997</v>
      </c>
      <c r="S605" s="6">
        <v>40.9</v>
      </c>
      <c r="T605" s="4" t="s">
        <v>27</v>
      </c>
      <c r="U605" s="16">
        <v>4</v>
      </c>
    </row>
    <row r="606" spans="1:21" x14ac:dyDescent="0.3">
      <c r="A606" s="13" t="s">
        <v>924</v>
      </c>
      <c r="B606" s="45">
        <v>45512</v>
      </c>
      <c r="C606" s="1" t="s">
        <v>895</v>
      </c>
      <c r="D606" s="41" t="s">
        <v>1375</v>
      </c>
      <c r="E606" s="1">
        <v>2024</v>
      </c>
      <c r="F606" s="1" t="s">
        <v>41</v>
      </c>
      <c r="G606" s="60" t="s">
        <v>91</v>
      </c>
      <c r="H606" s="2" t="s">
        <v>24</v>
      </c>
      <c r="I606" s="2" t="s">
        <v>47</v>
      </c>
      <c r="J606" s="2" t="s">
        <v>313</v>
      </c>
      <c r="K606" s="1">
        <v>9</v>
      </c>
      <c r="L606" s="37">
        <v>440.1</v>
      </c>
      <c r="M606" s="3">
        <v>0</v>
      </c>
      <c r="N606" s="37">
        <v>3960.9</v>
      </c>
      <c r="O606" s="37">
        <v>0</v>
      </c>
      <c r="P606" s="53">
        <v>3960.9</v>
      </c>
      <c r="Q606" s="37">
        <v>1911.36</v>
      </c>
      <c r="R606" s="37">
        <v>2049.54</v>
      </c>
      <c r="S606" s="3">
        <v>51.7</v>
      </c>
      <c r="T606" s="1" t="s">
        <v>33</v>
      </c>
      <c r="U606" s="15">
        <v>1</v>
      </c>
    </row>
    <row r="607" spans="1:21" x14ac:dyDescent="0.3">
      <c r="A607" s="14" t="s">
        <v>925</v>
      </c>
      <c r="B607" s="46">
        <v>45512</v>
      </c>
      <c r="C607" s="4" t="s">
        <v>895</v>
      </c>
      <c r="D607" s="42" t="s">
        <v>1375</v>
      </c>
      <c r="E607" s="4">
        <v>2024</v>
      </c>
      <c r="F607" s="4" t="s">
        <v>35</v>
      </c>
      <c r="G607" s="61" t="s">
        <v>122</v>
      </c>
      <c r="H607" s="5" t="s">
        <v>24</v>
      </c>
      <c r="I607" s="5" t="s">
        <v>55</v>
      </c>
      <c r="J607" s="5" t="s">
        <v>210</v>
      </c>
      <c r="K607" s="4">
        <v>9</v>
      </c>
      <c r="L607" s="38">
        <v>930.31</v>
      </c>
      <c r="M607" s="6">
        <v>10</v>
      </c>
      <c r="N607" s="38">
        <v>8372.7900000000009</v>
      </c>
      <c r="O607" s="38">
        <v>837.28</v>
      </c>
      <c r="P607" s="54">
        <v>7535.51</v>
      </c>
      <c r="Q607" s="38">
        <v>3464.34</v>
      </c>
      <c r="R607" s="38">
        <v>4071.17</v>
      </c>
      <c r="S607" s="6">
        <v>54</v>
      </c>
      <c r="T607" s="4" t="s">
        <v>44</v>
      </c>
      <c r="U607" s="16">
        <v>2</v>
      </c>
    </row>
    <row r="608" spans="1:21" x14ac:dyDescent="0.3">
      <c r="A608" s="13" t="s">
        <v>926</v>
      </c>
      <c r="B608" s="45">
        <v>45512</v>
      </c>
      <c r="C608" s="1" t="s">
        <v>895</v>
      </c>
      <c r="D608" s="41" t="s">
        <v>1375</v>
      </c>
      <c r="E608" s="1">
        <v>2024</v>
      </c>
      <c r="F608" s="1" t="s">
        <v>29</v>
      </c>
      <c r="G608" s="60" t="s">
        <v>46</v>
      </c>
      <c r="H608" s="2" t="s">
        <v>59</v>
      </c>
      <c r="I608" s="2" t="s">
        <v>25</v>
      </c>
      <c r="J608" s="2" t="s">
        <v>216</v>
      </c>
      <c r="K608" s="1">
        <v>15</v>
      </c>
      <c r="L608" s="37">
        <v>14.51</v>
      </c>
      <c r="M608" s="3">
        <v>10</v>
      </c>
      <c r="N608" s="37">
        <v>217.65</v>
      </c>
      <c r="O608" s="37">
        <v>21.77</v>
      </c>
      <c r="P608" s="53">
        <v>195.88</v>
      </c>
      <c r="Q608" s="37">
        <v>83.83</v>
      </c>
      <c r="R608" s="37">
        <v>112.05</v>
      </c>
      <c r="S608" s="3">
        <v>57.2</v>
      </c>
      <c r="T608" s="1" t="s">
        <v>44</v>
      </c>
      <c r="U608" s="15">
        <v>4</v>
      </c>
    </row>
    <row r="609" spans="1:21" x14ac:dyDescent="0.3">
      <c r="A609" s="14" t="s">
        <v>927</v>
      </c>
      <c r="B609" s="46">
        <v>45513</v>
      </c>
      <c r="C609" s="4" t="s">
        <v>895</v>
      </c>
      <c r="D609" s="42" t="s">
        <v>1375</v>
      </c>
      <c r="E609" s="4">
        <v>2024</v>
      </c>
      <c r="F609" s="4" t="s">
        <v>35</v>
      </c>
      <c r="G609" s="61" t="s">
        <v>23</v>
      </c>
      <c r="H609" s="5" t="s">
        <v>24</v>
      </c>
      <c r="I609" s="5" t="s">
        <v>25</v>
      </c>
      <c r="J609" s="5" t="s">
        <v>928</v>
      </c>
      <c r="K609" s="4">
        <v>5</v>
      </c>
      <c r="L609" s="38">
        <v>102.43</v>
      </c>
      <c r="M609" s="6">
        <v>0</v>
      </c>
      <c r="N609" s="38">
        <v>512.15</v>
      </c>
      <c r="O609" s="38">
        <v>0</v>
      </c>
      <c r="P609" s="54">
        <v>512.15</v>
      </c>
      <c r="Q609" s="38">
        <v>225.89</v>
      </c>
      <c r="R609" s="38">
        <v>286.26</v>
      </c>
      <c r="S609" s="6">
        <v>55.9</v>
      </c>
      <c r="T609" s="4" t="s">
        <v>44</v>
      </c>
      <c r="U609" s="16">
        <v>3</v>
      </c>
    </row>
    <row r="610" spans="1:21" x14ac:dyDescent="0.3">
      <c r="A610" s="13" t="s">
        <v>929</v>
      </c>
      <c r="B610" s="45">
        <v>45514</v>
      </c>
      <c r="C610" s="1" t="s">
        <v>895</v>
      </c>
      <c r="D610" s="41" t="s">
        <v>1375</v>
      </c>
      <c r="E610" s="1">
        <v>2024</v>
      </c>
      <c r="F610" s="1" t="s">
        <v>22</v>
      </c>
      <c r="G610" s="60" t="s">
        <v>122</v>
      </c>
      <c r="H610" s="2" t="s">
        <v>37</v>
      </c>
      <c r="I610" s="2" t="s">
        <v>31</v>
      </c>
      <c r="J610" s="2" t="s">
        <v>725</v>
      </c>
      <c r="K610" s="1">
        <v>2</v>
      </c>
      <c r="L610" s="37">
        <v>128.76</v>
      </c>
      <c r="M610" s="3">
        <v>20</v>
      </c>
      <c r="N610" s="37">
        <v>257.52</v>
      </c>
      <c r="O610" s="37">
        <v>51.5</v>
      </c>
      <c r="P610" s="53">
        <v>206.02</v>
      </c>
      <c r="Q610" s="37">
        <v>72.11</v>
      </c>
      <c r="R610" s="37">
        <v>133.91</v>
      </c>
      <c r="S610" s="3">
        <v>65</v>
      </c>
      <c r="T610" s="1" t="s">
        <v>27</v>
      </c>
      <c r="U610" s="15">
        <v>2</v>
      </c>
    </row>
    <row r="611" spans="1:21" x14ac:dyDescent="0.3">
      <c r="A611" s="14" t="s">
        <v>930</v>
      </c>
      <c r="B611" s="46">
        <v>45514</v>
      </c>
      <c r="C611" s="4" t="s">
        <v>895</v>
      </c>
      <c r="D611" s="42" t="s">
        <v>1375</v>
      </c>
      <c r="E611" s="4">
        <v>2024</v>
      </c>
      <c r="F611" s="4" t="s">
        <v>22</v>
      </c>
      <c r="G611" s="61" t="s">
        <v>54</v>
      </c>
      <c r="H611" s="5" t="s">
        <v>50</v>
      </c>
      <c r="I611" s="5" t="s">
        <v>31</v>
      </c>
      <c r="J611" s="5" t="s">
        <v>170</v>
      </c>
      <c r="K611" s="4">
        <v>20</v>
      </c>
      <c r="L611" s="38">
        <v>188.2</v>
      </c>
      <c r="M611" s="6">
        <v>0</v>
      </c>
      <c r="N611" s="38">
        <v>3764</v>
      </c>
      <c r="O611" s="38">
        <v>0</v>
      </c>
      <c r="P611" s="54">
        <v>3764</v>
      </c>
      <c r="Q611" s="38">
        <v>2238.13</v>
      </c>
      <c r="R611" s="38">
        <v>1525.87</v>
      </c>
      <c r="S611" s="6">
        <v>40.5</v>
      </c>
      <c r="T611" s="4" t="s">
        <v>33</v>
      </c>
      <c r="U611" s="16">
        <v>2</v>
      </c>
    </row>
    <row r="612" spans="1:21" x14ac:dyDescent="0.3">
      <c r="A612" s="13" t="s">
        <v>931</v>
      </c>
      <c r="B612" s="45">
        <v>45514</v>
      </c>
      <c r="C612" s="1" t="s">
        <v>895</v>
      </c>
      <c r="D612" s="41" t="s">
        <v>1375</v>
      </c>
      <c r="E612" s="1">
        <v>2024</v>
      </c>
      <c r="F612" s="1" t="s">
        <v>53</v>
      </c>
      <c r="G612" s="60" t="s">
        <v>30</v>
      </c>
      <c r="H612" s="2" t="s">
        <v>50</v>
      </c>
      <c r="I612" s="2" t="s">
        <v>38</v>
      </c>
      <c r="J612" s="2" t="s">
        <v>445</v>
      </c>
      <c r="K612" s="1">
        <v>20</v>
      </c>
      <c r="L612" s="37">
        <v>71.680000000000007</v>
      </c>
      <c r="M612" s="3">
        <v>20</v>
      </c>
      <c r="N612" s="37">
        <v>1433.6</v>
      </c>
      <c r="O612" s="37">
        <v>286.72000000000003</v>
      </c>
      <c r="P612" s="53">
        <v>1146.8800000000001</v>
      </c>
      <c r="Q612" s="37">
        <v>693.16</v>
      </c>
      <c r="R612" s="37">
        <v>453.72</v>
      </c>
      <c r="S612" s="3">
        <v>39.6</v>
      </c>
      <c r="T612" s="1" t="s">
        <v>44</v>
      </c>
      <c r="U612" s="15">
        <v>2</v>
      </c>
    </row>
    <row r="613" spans="1:21" x14ac:dyDescent="0.3">
      <c r="A613" s="14" t="s">
        <v>932</v>
      </c>
      <c r="B613" s="46">
        <v>45515</v>
      </c>
      <c r="C613" s="4" t="s">
        <v>895</v>
      </c>
      <c r="D613" s="42" t="s">
        <v>1375</v>
      </c>
      <c r="E613" s="4">
        <v>2024</v>
      </c>
      <c r="F613" s="4" t="s">
        <v>53</v>
      </c>
      <c r="G613" s="61" t="s">
        <v>36</v>
      </c>
      <c r="H613" s="5" t="s">
        <v>37</v>
      </c>
      <c r="I613" s="5" t="s">
        <v>75</v>
      </c>
      <c r="J613" s="5" t="s">
        <v>481</v>
      </c>
      <c r="K613" s="4">
        <v>20</v>
      </c>
      <c r="L613" s="38">
        <v>115.25</v>
      </c>
      <c r="M613" s="6">
        <v>10</v>
      </c>
      <c r="N613" s="38">
        <v>2305</v>
      </c>
      <c r="O613" s="38">
        <v>230.5</v>
      </c>
      <c r="P613" s="54">
        <v>2074.5</v>
      </c>
      <c r="Q613" s="38">
        <v>940.09</v>
      </c>
      <c r="R613" s="38">
        <v>1134.4100000000001</v>
      </c>
      <c r="S613" s="6">
        <v>54.7</v>
      </c>
      <c r="T613" s="4" t="s">
        <v>44</v>
      </c>
      <c r="U613" s="16">
        <v>3</v>
      </c>
    </row>
    <row r="614" spans="1:21" x14ac:dyDescent="0.3">
      <c r="A614" s="13" t="s">
        <v>933</v>
      </c>
      <c r="B614" s="45">
        <v>45515</v>
      </c>
      <c r="C614" s="1" t="s">
        <v>895</v>
      </c>
      <c r="D614" s="41" t="s">
        <v>1375</v>
      </c>
      <c r="E614" s="1">
        <v>2024</v>
      </c>
      <c r="F614" s="1" t="s">
        <v>41</v>
      </c>
      <c r="G614" s="60" t="s">
        <v>54</v>
      </c>
      <c r="H614" s="2" t="s">
        <v>50</v>
      </c>
      <c r="I614" s="2" t="s">
        <v>31</v>
      </c>
      <c r="J614" s="2" t="s">
        <v>767</v>
      </c>
      <c r="K614" s="1">
        <v>8</v>
      </c>
      <c r="L614" s="37">
        <v>27.45</v>
      </c>
      <c r="M614" s="3">
        <v>10</v>
      </c>
      <c r="N614" s="37">
        <v>219.6</v>
      </c>
      <c r="O614" s="37">
        <v>21.96</v>
      </c>
      <c r="P614" s="53">
        <v>197.64</v>
      </c>
      <c r="Q614" s="37">
        <v>96.99</v>
      </c>
      <c r="R614" s="37">
        <v>100.65</v>
      </c>
      <c r="S614" s="3">
        <v>50.9</v>
      </c>
      <c r="T614" s="1" t="s">
        <v>44</v>
      </c>
      <c r="U614" s="15">
        <v>2</v>
      </c>
    </row>
    <row r="615" spans="1:21" x14ac:dyDescent="0.3">
      <c r="A615" s="14" t="s">
        <v>934</v>
      </c>
      <c r="B615" s="46">
        <v>45515</v>
      </c>
      <c r="C615" s="4" t="s">
        <v>895</v>
      </c>
      <c r="D615" s="42" t="s">
        <v>1375</v>
      </c>
      <c r="E615" s="4">
        <v>2024</v>
      </c>
      <c r="F615" s="4" t="s">
        <v>22</v>
      </c>
      <c r="G615" s="61" t="s">
        <v>42</v>
      </c>
      <c r="H615" s="5" t="s">
        <v>24</v>
      </c>
      <c r="I615" s="5" t="s">
        <v>55</v>
      </c>
      <c r="J615" s="5" t="s">
        <v>385</v>
      </c>
      <c r="K615" s="4">
        <v>10</v>
      </c>
      <c r="L615" s="38">
        <v>733.04</v>
      </c>
      <c r="M615" s="6">
        <v>15</v>
      </c>
      <c r="N615" s="38">
        <v>7330.4</v>
      </c>
      <c r="O615" s="38">
        <v>1099.56</v>
      </c>
      <c r="P615" s="54">
        <v>6230.84</v>
      </c>
      <c r="Q615" s="38">
        <v>2196.34</v>
      </c>
      <c r="R615" s="38">
        <v>4034.5</v>
      </c>
      <c r="S615" s="6">
        <v>64.8</v>
      </c>
      <c r="T615" s="4" t="s">
        <v>44</v>
      </c>
      <c r="U615" s="16">
        <v>5</v>
      </c>
    </row>
    <row r="616" spans="1:21" x14ac:dyDescent="0.3">
      <c r="A616" s="13" t="s">
        <v>935</v>
      </c>
      <c r="B616" s="45">
        <v>45515</v>
      </c>
      <c r="C616" s="1" t="s">
        <v>895</v>
      </c>
      <c r="D616" s="41" t="s">
        <v>1375</v>
      </c>
      <c r="E616" s="1">
        <v>2024</v>
      </c>
      <c r="F616" s="1" t="s">
        <v>53</v>
      </c>
      <c r="G616" s="60" t="s">
        <v>36</v>
      </c>
      <c r="H616" s="2" t="s">
        <v>50</v>
      </c>
      <c r="I616" s="2" t="s">
        <v>47</v>
      </c>
      <c r="J616" s="2" t="s">
        <v>332</v>
      </c>
      <c r="K616" s="1">
        <v>16</v>
      </c>
      <c r="L616" s="37">
        <v>234.29</v>
      </c>
      <c r="M616" s="3">
        <v>0</v>
      </c>
      <c r="N616" s="37">
        <v>3748.64</v>
      </c>
      <c r="O616" s="37">
        <v>0</v>
      </c>
      <c r="P616" s="53">
        <v>3748.64</v>
      </c>
      <c r="Q616" s="37">
        <v>2349</v>
      </c>
      <c r="R616" s="37">
        <v>1399.64</v>
      </c>
      <c r="S616" s="3">
        <v>37.299999999999997</v>
      </c>
      <c r="T616" s="1" t="s">
        <v>44</v>
      </c>
      <c r="U616" s="15">
        <v>2</v>
      </c>
    </row>
    <row r="617" spans="1:21" x14ac:dyDescent="0.3">
      <c r="A617" s="14" t="s">
        <v>936</v>
      </c>
      <c r="B617" s="46">
        <v>45516</v>
      </c>
      <c r="C617" s="4" t="s">
        <v>895</v>
      </c>
      <c r="D617" s="42" t="s">
        <v>1375</v>
      </c>
      <c r="E617" s="4">
        <v>2024</v>
      </c>
      <c r="F617" s="4" t="s">
        <v>53</v>
      </c>
      <c r="G617" s="61" t="s">
        <v>36</v>
      </c>
      <c r="H617" s="5" t="s">
        <v>37</v>
      </c>
      <c r="I617" s="5" t="s">
        <v>25</v>
      </c>
      <c r="J617" s="5" t="s">
        <v>131</v>
      </c>
      <c r="K617" s="4">
        <v>14</v>
      </c>
      <c r="L617" s="38">
        <v>104.08</v>
      </c>
      <c r="M617" s="6">
        <v>10</v>
      </c>
      <c r="N617" s="38">
        <v>1457.12</v>
      </c>
      <c r="O617" s="38">
        <v>145.71</v>
      </c>
      <c r="P617" s="54">
        <v>1311.41</v>
      </c>
      <c r="Q617" s="38">
        <v>831.55</v>
      </c>
      <c r="R617" s="38">
        <v>479.86</v>
      </c>
      <c r="S617" s="6">
        <v>36.6</v>
      </c>
      <c r="T617" s="4" t="s">
        <v>44</v>
      </c>
      <c r="U617" s="16">
        <v>4</v>
      </c>
    </row>
    <row r="618" spans="1:21" x14ac:dyDescent="0.3">
      <c r="A618" s="13" t="s">
        <v>937</v>
      </c>
      <c r="B618" s="45">
        <v>45516</v>
      </c>
      <c r="C618" s="1" t="s">
        <v>895</v>
      </c>
      <c r="D618" s="41" t="s">
        <v>1375</v>
      </c>
      <c r="E618" s="1">
        <v>2024</v>
      </c>
      <c r="F618" s="1" t="s">
        <v>35</v>
      </c>
      <c r="G618" s="60" t="s">
        <v>42</v>
      </c>
      <c r="H618" s="2" t="s">
        <v>24</v>
      </c>
      <c r="I618" s="2" t="s">
        <v>47</v>
      </c>
      <c r="J618" s="2" t="s">
        <v>938</v>
      </c>
      <c r="K618" s="1">
        <v>18</v>
      </c>
      <c r="L618" s="37">
        <v>438.66</v>
      </c>
      <c r="M618" s="3">
        <v>10</v>
      </c>
      <c r="N618" s="37">
        <v>7895.88</v>
      </c>
      <c r="O618" s="37">
        <v>789.59</v>
      </c>
      <c r="P618" s="53">
        <v>7106.29</v>
      </c>
      <c r="Q618" s="37">
        <v>3504.25</v>
      </c>
      <c r="R618" s="37">
        <v>3602.04</v>
      </c>
      <c r="S618" s="3">
        <v>50.7</v>
      </c>
      <c r="T618" s="1" t="s">
        <v>44</v>
      </c>
      <c r="U618" s="15">
        <v>3</v>
      </c>
    </row>
    <row r="619" spans="1:21" x14ac:dyDescent="0.3">
      <c r="A619" s="14" t="s">
        <v>939</v>
      </c>
      <c r="B619" s="46">
        <v>45517</v>
      </c>
      <c r="C619" s="4" t="s">
        <v>895</v>
      </c>
      <c r="D619" s="42" t="s">
        <v>1375</v>
      </c>
      <c r="E619" s="4">
        <v>2024</v>
      </c>
      <c r="F619" s="4" t="s">
        <v>41</v>
      </c>
      <c r="G619" s="61" t="s">
        <v>58</v>
      </c>
      <c r="H619" s="5" t="s">
        <v>59</v>
      </c>
      <c r="I619" s="5" t="s">
        <v>55</v>
      </c>
      <c r="J619" s="5" t="s">
        <v>302</v>
      </c>
      <c r="K619" s="4">
        <v>16</v>
      </c>
      <c r="L619" s="38">
        <v>331.44</v>
      </c>
      <c r="M619" s="6">
        <v>0</v>
      </c>
      <c r="N619" s="38">
        <v>5303.04</v>
      </c>
      <c r="O619" s="38">
        <v>0</v>
      </c>
      <c r="P619" s="54">
        <v>5303.04</v>
      </c>
      <c r="Q619" s="38">
        <v>1870.59</v>
      </c>
      <c r="R619" s="38">
        <v>3432.45</v>
      </c>
      <c r="S619" s="6">
        <v>64.7</v>
      </c>
      <c r="T619" s="4" t="s">
        <v>33</v>
      </c>
      <c r="U619" s="16">
        <v>1</v>
      </c>
    </row>
    <row r="620" spans="1:21" x14ac:dyDescent="0.3">
      <c r="A620" s="13" t="s">
        <v>940</v>
      </c>
      <c r="B620" s="45">
        <v>45517</v>
      </c>
      <c r="C620" s="1" t="s">
        <v>895</v>
      </c>
      <c r="D620" s="41" t="s">
        <v>1375</v>
      </c>
      <c r="E620" s="1">
        <v>2024</v>
      </c>
      <c r="F620" s="1" t="s">
        <v>29</v>
      </c>
      <c r="G620" s="60" t="s">
        <v>42</v>
      </c>
      <c r="H620" s="2" t="s">
        <v>59</v>
      </c>
      <c r="I620" s="2" t="s">
        <v>47</v>
      </c>
      <c r="J620" s="2" t="s">
        <v>610</v>
      </c>
      <c r="K620" s="1">
        <v>2</v>
      </c>
      <c r="L620" s="37">
        <v>41.23</v>
      </c>
      <c r="M620" s="3">
        <v>15</v>
      </c>
      <c r="N620" s="37">
        <v>82.46</v>
      </c>
      <c r="O620" s="37">
        <v>12.37</v>
      </c>
      <c r="P620" s="53">
        <v>70.09</v>
      </c>
      <c r="Q620" s="37">
        <v>33.58</v>
      </c>
      <c r="R620" s="37">
        <v>36.51</v>
      </c>
      <c r="S620" s="3">
        <v>52.1</v>
      </c>
      <c r="T620" s="1" t="s">
        <v>44</v>
      </c>
      <c r="U620" s="15">
        <v>3</v>
      </c>
    </row>
    <row r="621" spans="1:21" x14ac:dyDescent="0.3">
      <c r="A621" s="14" t="s">
        <v>941</v>
      </c>
      <c r="B621" s="46">
        <v>45518</v>
      </c>
      <c r="C621" s="4" t="s">
        <v>895</v>
      </c>
      <c r="D621" s="42" t="s">
        <v>1375</v>
      </c>
      <c r="E621" s="4">
        <v>2024</v>
      </c>
      <c r="F621" s="4" t="s">
        <v>35</v>
      </c>
      <c r="G621" s="61" t="s">
        <v>42</v>
      </c>
      <c r="H621" s="5" t="s">
        <v>24</v>
      </c>
      <c r="I621" s="5" t="s">
        <v>25</v>
      </c>
      <c r="J621" s="5" t="s">
        <v>769</v>
      </c>
      <c r="K621" s="4">
        <v>3</v>
      </c>
      <c r="L621" s="38">
        <v>71.45</v>
      </c>
      <c r="M621" s="6">
        <v>15</v>
      </c>
      <c r="N621" s="38">
        <v>214.35</v>
      </c>
      <c r="O621" s="38">
        <v>32.15</v>
      </c>
      <c r="P621" s="54">
        <v>182.2</v>
      </c>
      <c r="Q621" s="38">
        <v>79.78</v>
      </c>
      <c r="R621" s="38">
        <v>102.42</v>
      </c>
      <c r="S621" s="6">
        <v>56.2</v>
      </c>
      <c r="T621" s="4" t="s">
        <v>44</v>
      </c>
      <c r="U621" s="16">
        <v>1</v>
      </c>
    </row>
    <row r="622" spans="1:21" x14ac:dyDescent="0.3">
      <c r="A622" s="13" t="s">
        <v>942</v>
      </c>
      <c r="B622" s="45">
        <v>45518</v>
      </c>
      <c r="C622" s="1" t="s">
        <v>895</v>
      </c>
      <c r="D622" s="41" t="s">
        <v>1375</v>
      </c>
      <c r="E622" s="1">
        <v>2024</v>
      </c>
      <c r="F622" s="1" t="s">
        <v>41</v>
      </c>
      <c r="G622" s="60" t="s">
        <v>42</v>
      </c>
      <c r="H622" s="2" t="s">
        <v>50</v>
      </c>
      <c r="I622" s="2" t="s">
        <v>31</v>
      </c>
      <c r="J622" s="2" t="s">
        <v>562</v>
      </c>
      <c r="K622" s="1">
        <v>9</v>
      </c>
      <c r="L622" s="37">
        <v>114.86</v>
      </c>
      <c r="M622" s="3">
        <v>5</v>
      </c>
      <c r="N622" s="37">
        <v>1033.74</v>
      </c>
      <c r="O622" s="37">
        <v>51.69</v>
      </c>
      <c r="P622" s="53">
        <v>982.05</v>
      </c>
      <c r="Q622" s="37">
        <v>411.84</v>
      </c>
      <c r="R622" s="37">
        <v>570.21</v>
      </c>
      <c r="S622" s="3">
        <v>58.1</v>
      </c>
      <c r="T622" s="1" t="s">
        <v>44</v>
      </c>
      <c r="U622" s="15">
        <v>2</v>
      </c>
    </row>
    <row r="623" spans="1:21" x14ac:dyDescent="0.3">
      <c r="A623" s="14" t="s">
        <v>943</v>
      </c>
      <c r="B623" s="46">
        <v>45518</v>
      </c>
      <c r="C623" s="4" t="s">
        <v>895</v>
      </c>
      <c r="D623" s="42" t="s">
        <v>1375</v>
      </c>
      <c r="E623" s="4">
        <v>2024</v>
      </c>
      <c r="F623" s="4" t="s">
        <v>41</v>
      </c>
      <c r="G623" s="61" t="s">
        <v>30</v>
      </c>
      <c r="H623" s="5" t="s">
        <v>37</v>
      </c>
      <c r="I623" s="5" t="s">
        <v>75</v>
      </c>
      <c r="J623" s="5" t="s">
        <v>824</v>
      </c>
      <c r="K623" s="4">
        <v>13</v>
      </c>
      <c r="L623" s="38">
        <v>307.89</v>
      </c>
      <c r="M623" s="6">
        <v>0</v>
      </c>
      <c r="N623" s="38">
        <v>4002.57</v>
      </c>
      <c r="O623" s="38">
        <v>0</v>
      </c>
      <c r="P623" s="54">
        <v>4002.57</v>
      </c>
      <c r="Q623" s="38">
        <v>1409.57</v>
      </c>
      <c r="R623" s="38">
        <v>2593</v>
      </c>
      <c r="S623" s="6">
        <v>64.8</v>
      </c>
      <c r="T623" s="4" t="s">
        <v>33</v>
      </c>
      <c r="U623" s="16">
        <v>1</v>
      </c>
    </row>
    <row r="624" spans="1:21" x14ac:dyDescent="0.3">
      <c r="A624" s="13" t="s">
        <v>944</v>
      </c>
      <c r="B624" s="45">
        <v>45518</v>
      </c>
      <c r="C624" s="1" t="s">
        <v>895</v>
      </c>
      <c r="D624" s="41" t="s">
        <v>1375</v>
      </c>
      <c r="E624" s="1">
        <v>2024</v>
      </c>
      <c r="F624" s="1" t="s">
        <v>35</v>
      </c>
      <c r="G624" s="60" t="s">
        <v>23</v>
      </c>
      <c r="H624" s="2" t="s">
        <v>24</v>
      </c>
      <c r="I624" s="2" t="s">
        <v>25</v>
      </c>
      <c r="J624" s="2" t="s">
        <v>714</v>
      </c>
      <c r="K624" s="1">
        <v>5</v>
      </c>
      <c r="L624" s="37">
        <v>118.65</v>
      </c>
      <c r="M624" s="3">
        <v>0</v>
      </c>
      <c r="N624" s="37">
        <v>593.25</v>
      </c>
      <c r="O624" s="37">
        <v>0</v>
      </c>
      <c r="P624" s="53">
        <v>593.25</v>
      </c>
      <c r="Q624" s="37">
        <v>274.14</v>
      </c>
      <c r="R624" s="37">
        <v>319.11</v>
      </c>
      <c r="S624" s="3">
        <v>53.8</v>
      </c>
      <c r="T624" s="1" t="s">
        <v>33</v>
      </c>
      <c r="U624" s="15">
        <v>5</v>
      </c>
    </row>
    <row r="625" spans="1:21" x14ac:dyDescent="0.3">
      <c r="A625" s="14" t="s">
        <v>945</v>
      </c>
      <c r="B625" s="46">
        <v>45518</v>
      </c>
      <c r="C625" s="4" t="s">
        <v>895</v>
      </c>
      <c r="D625" s="42" t="s">
        <v>1375</v>
      </c>
      <c r="E625" s="4">
        <v>2024</v>
      </c>
      <c r="F625" s="4" t="s">
        <v>53</v>
      </c>
      <c r="G625" s="61" t="s">
        <v>46</v>
      </c>
      <c r="H625" s="5" t="s">
        <v>37</v>
      </c>
      <c r="I625" s="5" t="s">
        <v>25</v>
      </c>
      <c r="J625" s="5" t="s">
        <v>503</v>
      </c>
      <c r="K625" s="4">
        <v>14</v>
      </c>
      <c r="L625" s="38">
        <v>29.62</v>
      </c>
      <c r="M625" s="6">
        <v>20</v>
      </c>
      <c r="N625" s="38">
        <v>414.68</v>
      </c>
      <c r="O625" s="38">
        <v>82.94</v>
      </c>
      <c r="P625" s="54">
        <v>331.74</v>
      </c>
      <c r="Q625" s="38">
        <v>157.09</v>
      </c>
      <c r="R625" s="38">
        <v>174.65</v>
      </c>
      <c r="S625" s="6">
        <v>52.6</v>
      </c>
      <c r="T625" s="4" t="s">
        <v>44</v>
      </c>
      <c r="U625" s="16">
        <v>1</v>
      </c>
    </row>
    <row r="626" spans="1:21" x14ac:dyDescent="0.3">
      <c r="A626" s="13" t="s">
        <v>946</v>
      </c>
      <c r="B626" s="45">
        <v>45518</v>
      </c>
      <c r="C626" s="1" t="s">
        <v>895</v>
      </c>
      <c r="D626" s="41" t="s">
        <v>1375</v>
      </c>
      <c r="E626" s="1">
        <v>2024</v>
      </c>
      <c r="F626" s="1" t="s">
        <v>53</v>
      </c>
      <c r="G626" s="60" t="s">
        <v>30</v>
      </c>
      <c r="H626" s="2" t="s">
        <v>59</v>
      </c>
      <c r="I626" s="2" t="s">
        <v>25</v>
      </c>
      <c r="J626" s="2" t="s">
        <v>308</v>
      </c>
      <c r="K626" s="1">
        <v>7</v>
      </c>
      <c r="L626" s="37">
        <v>149.09</v>
      </c>
      <c r="M626" s="3">
        <v>0</v>
      </c>
      <c r="N626" s="37">
        <v>1043.6300000000001</v>
      </c>
      <c r="O626" s="37">
        <v>0</v>
      </c>
      <c r="P626" s="53">
        <v>1043.6300000000001</v>
      </c>
      <c r="Q626" s="37">
        <v>540.77</v>
      </c>
      <c r="R626" s="37">
        <v>502.86</v>
      </c>
      <c r="S626" s="3">
        <v>48.2</v>
      </c>
      <c r="T626" s="1" t="s">
        <v>44</v>
      </c>
      <c r="U626" s="15">
        <v>1</v>
      </c>
    </row>
    <row r="627" spans="1:21" x14ac:dyDescent="0.3">
      <c r="A627" s="14" t="s">
        <v>947</v>
      </c>
      <c r="B627" s="46">
        <v>45520</v>
      </c>
      <c r="C627" s="4" t="s">
        <v>895</v>
      </c>
      <c r="D627" s="42" t="s">
        <v>1375</v>
      </c>
      <c r="E627" s="4">
        <v>2024</v>
      </c>
      <c r="F627" s="4" t="s">
        <v>29</v>
      </c>
      <c r="G627" s="61" t="s">
        <v>30</v>
      </c>
      <c r="H627" s="5" t="s">
        <v>24</v>
      </c>
      <c r="I627" s="5" t="s">
        <v>38</v>
      </c>
      <c r="J627" s="5" t="s">
        <v>917</v>
      </c>
      <c r="K627" s="4">
        <v>17</v>
      </c>
      <c r="L627" s="38">
        <v>22.56</v>
      </c>
      <c r="M627" s="6">
        <v>20</v>
      </c>
      <c r="N627" s="38">
        <v>383.52</v>
      </c>
      <c r="O627" s="38">
        <v>76.7</v>
      </c>
      <c r="P627" s="54">
        <v>306.82</v>
      </c>
      <c r="Q627" s="38">
        <v>143.72</v>
      </c>
      <c r="R627" s="38">
        <v>163.1</v>
      </c>
      <c r="S627" s="6">
        <v>53.2</v>
      </c>
      <c r="T627" s="4" t="s">
        <v>27</v>
      </c>
      <c r="U627" s="16">
        <v>4</v>
      </c>
    </row>
    <row r="628" spans="1:21" x14ac:dyDescent="0.3">
      <c r="A628" s="13" t="s">
        <v>948</v>
      </c>
      <c r="B628" s="45">
        <v>45521</v>
      </c>
      <c r="C628" s="1" t="s">
        <v>895</v>
      </c>
      <c r="D628" s="41" t="s">
        <v>1375</v>
      </c>
      <c r="E628" s="1">
        <v>2024</v>
      </c>
      <c r="F628" s="1" t="s">
        <v>29</v>
      </c>
      <c r="G628" s="60" t="s">
        <v>54</v>
      </c>
      <c r="H628" s="2" t="s">
        <v>24</v>
      </c>
      <c r="I628" s="2" t="s">
        <v>38</v>
      </c>
      <c r="J628" s="2" t="s">
        <v>81</v>
      </c>
      <c r="K628" s="1">
        <v>8</v>
      </c>
      <c r="L628" s="37">
        <v>73.73</v>
      </c>
      <c r="M628" s="3">
        <v>0</v>
      </c>
      <c r="N628" s="37">
        <v>589.84</v>
      </c>
      <c r="O628" s="37">
        <v>0</v>
      </c>
      <c r="P628" s="53">
        <v>589.84</v>
      </c>
      <c r="Q628" s="37">
        <v>235.33</v>
      </c>
      <c r="R628" s="37">
        <v>354.51</v>
      </c>
      <c r="S628" s="3">
        <v>60.1</v>
      </c>
      <c r="T628" s="1" t="s">
        <v>27</v>
      </c>
      <c r="U628" s="15">
        <v>5</v>
      </c>
    </row>
    <row r="629" spans="1:21" x14ac:dyDescent="0.3">
      <c r="A629" s="14" t="s">
        <v>949</v>
      </c>
      <c r="B629" s="46">
        <v>45521</v>
      </c>
      <c r="C629" s="4" t="s">
        <v>895</v>
      </c>
      <c r="D629" s="42" t="s">
        <v>1375</v>
      </c>
      <c r="E629" s="4">
        <v>2024</v>
      </c>
      <c r="F629" s="4" t="s">
        <v>41</v>
      </c>
      <c r="G629" s="61" t="s">
        <v>66</v>
      </c>
      <c r="H629" s="5" t="s">
        <v>37</v>
      </c>
      <c r="I629" s="5" t="s">
        <v>25</v>
      </c>
      <c r="J629" s="5" t="s">
        <v>94</v>
      </c>
      <c r="K629" s="4">
        <v>18</v>
      </c>
      <c r="L629" s="38">
        <v>90.66</v>
      </c>
      <c r="M629" s="6">
        <v>20</v>
      </c>
      <c r="N629" s="38">
        <v>1631.88</v>
      </c>
      <c r="O629" s="38">
        <v>326.38</v>
      </c>
      <c r="P629" s="54">
        <v>1305.5</v>
      </c>
      <c r="Q629" s="38">
        <v>745.62</v>
      </c>
      <c r="R629" s="38">
        <v>559.88</v>
      </c>
      <c r="S629" s="6">
        <v>42.9</v>
      </c>
      <c r="T629" s="4" t="s">
        <v>44</v>
      </c>
      <c r="U629" s="16">
        <v>1</v>
      </c>
    </row>
    <row r="630" spans="1:21" x14ac:dyDescent="0.3">
      <c r="A630" s="13" t="s">
        <v>950</v>
      </c>
      <c r="B630" s="45">
        <v>45521</v>
      </c>
      <c r="C630" s="1" t="s">
        <v>895</v>
      </c>
      <c r="D630" s="41" t="s">
        <v>1375</v>
      </c>
      <c r="E630" s="1">
        <v>2024</v>
      </c>
      <c r="F630" s="1" t="s">
        <v>29</v>
      </c>
      <c r="G630" s="60" t="s">
        <v>46</v>
      </c>
      <c r="H630" s="2" t="s">
        <v>59</v>
      </c>
      <c r="I630" s="2" t="s">
        <v>55</v>
      </c>
      <c r="J630" s="2" t="s">
        <v>581</v>
      </c>
      <c r="K630" s="1">
        <v>1</v>
      </c>
      <c r="L630" s="37">
        <v>714.1</v>
      </c>
      <c r="M630" s="3">
        <v>5</v>
      </c>
      <c r="N630" s="37">
        <v>714.1</v>
      </c>
      <c r="O630" s="37">
        <v>35.71</v>
      </c>
      <c r="P630" s="53">
        <v>678.39</v>
      </c>
      <c r="Q630" s="37">
        <v>316.75</v>
      </c>
      <c r="R630" s="37">
        <v>361.64</v>
      </c>
      <c r="S630" s="3">
        <v>53.3</v>
      </c>
      <c r="T630" s="1" t="s">
        <v>33</v>
      </c>
      <c r="U630" s="15">
        <v>1</v>
      </c>
    </row>
    <row r="631" spans="1:21" x14ac:dyDescent="0.3">
      <c r="A631" s="14" t="s">
        <v>951</v>
      </c>
      <c r="B631" s="46">
        <v>45522</v>
      </c>
      <c r="C631" s="4" t="s">
        <v>895</v>
      </c>
      <c r="D631" s="42" t="s">
        <v>1375</v>
      </c>
      <c r="E631" s="4">
        <v>2024</v>
      </c>
      <c r="F631" s="4" t="s">
        <v>35</v>
      </c>
      <c r="G631" s="61" t="s">
        <v>122</v>
      </c>
      <c r="H631" s="5" t="s">
        <v>59</v>
      </c>
      <c r="I631" s="5" t="s">
        <v>25</v>
      </c>
      <c r="J631" s="5" t="s">
        <v>567</v>
      </c>
      <c r="K631" s="4">
        <v>13</v>
      </c>
      <c r="L631" s="38">
        <v>118.16</v>
      </c>
      <c r="M631" s="6">
        <v>0</v>
      </c>
      <c r="N631" s="38">
        <v>1536.08</v>
      </c>
      <c r="O631" s="38">
        <v>0</v>
      </c>
      <c r="P631" s="54">
        <v>1536.08</v>
      </c>
      <c r="Q631" s="38">
        <v>711.98</v>
      </c>
      <c r="R631" s="38">
        <v>824.1</v>
      </c>
      <c r="S631" s="6">
        <v>53.6</v>
      </c>
      <c r="T631" s="4" t="s">
        <v>44</v>
      </c>
      <c r="U631" s="16">
        <v>2</v>
      </c>
    </row>
    <row r="632" spans="1:21" x14ac:dyDescent="0.3">
      <c r="A632" s="13" t="s">
        <v>952</v>
      </c>
      <c r="B632" s="45">
        <v>45522</v>
      </c>
      <c r="C632" s="1" t="s">
        <v>895</v>
      </c>
      <c r="D632" s="41" t="s">
        <v>1375</v>
      </c>
      <c r="E632" s="1">
        <v>2024</v>
      </c>
      <c r="F632" s="1" t="s">
        <v>29</v>
      </c>
      <c r="G632" s="60" t="s">
        <v>91</v>
      </c>
      <c r="H632" s="2" t="s">
        <v>24</v>
      </c>
      <c r="I632" s="2" t="s">
        <v>38</v>
      </c>
      <c r="J632" s="2" t="s">
        <v>396</v>
      </c>
      <c r="K632" s="1">
        <v>12</v>
      </c>
      <c r="L632" s="37">
        <v>66.38</v>
      </c>
      <c r="M632" s="3">
        <v>10</v>
      </c>
      <c r="N632" s="37">
        <v>796.56</v>
      </c>
      <c r="O632" s="37">
        <v>79.66</v>
      </c>
      <c r="P632" s="53">
        <v>716.9</v>
      </c>
      <c r="Q632" s="37">
        <v>307.47000000000003</v>
      </c>
      <c r="R632" s="37">
        <v>409.43</v>
      </c>
      <c r="S632" s="3">
        <v>57.1</v>
      </c>
      <c r="T632" s="1" t="s">
        <v>33</v>
      </c>
      <c r="U632" s="15">
        <v>3</v>
      </c>
    </row>
    <row r="633" spans="1:21" x14ac:dyDescent="0.3">
      <c r="A633" s="14" t="s">
        <v>953</v>
      </c>
      <c r="B633" s="46">
        <v>45522</v>
      </c>
      <c r="C633" s="4" t="s">
        <v>895</v>
      </c>
      <c r="D633" s="42" t="s">
        <v>1375</v>
      </c>
      <c r="E633" s="4">
        <v>2024</v>
      </c>
      <c r="F633" s="4" t="s">
        <v>22</v>
      </c>
      <c r="G633" s="61" t="s">
        <v>122</v>
      </c>
      <c r="H633" s="5" t="s">
        <v>37</v>
      </c>
      <c r="I633" s="5" t="s">
        <v>38</v>
      </c>
      <c r="J633" s="5" t="s">
        <v>520</v>
      </c>
      <c r="K633" s="4">
        <v>16</v>
      </c>
      <c r="L633" s="38">
        <v>22.77</v>
      </c>
      <c r="M633" s="6">
        <v>20</v>
      </c>
      <c r="N633" s="38">
        <v>364.32</v>
      </c>
      <c r="O633" s="38">
        <v>72.86</v>
      </c>
      <c r="P633" s="54">
        <v>291.45999999999998</v>
      </c>
      <c r="Q633" s="38">
        <v>138.93</v>
      </c>
      <c r="R633" s="38">
        <v>152.53</v>
      </c>
      <c r="S633" s="6">
        <v>52.3</v>
      </c>
      <c r="T633" s="4" t="s">
        <v>44</v>
      </c>
      <c r="U633" s="16">
        <v>3</v>
      </c>
    </row>
    <row r="634" spans="1:21" x14ac:dyDescent="0.3">
      <c r="A634" s="13" t="s">
        <v>954</v>
      </c>
      <c r="B634" s="45">
        <v>45522</v>
      </c>
      <c r="C634" s="1" t="s">
        <v>895</v>
      </c>
      <c r="D634" s="41" t="s">
        <v>1375</v>
      </c>
      <c r="E634" s="1">
        <v>2024</v>
      </c>
      <c r="F634" s="1" t="s">
        <v>41</v>
      </c>
      <c r="G634" s="60" t="s">
        <v>54</v>
      </c>
      <c r="H634" s="2" t="s">
        <v>24</v>
      </c>
      <c r="I634" s="2" t="s">
        <v>47</v>
      </c>
      <c r="J634" s="2" t="s">
        <v>310</v>
      </c>
      <c r="K634" s="1">
        <v>18</v>
      </c>
      <c r="L634" s="37">
        <v>440.6</v>
      </c>
      <c r="M634" s="3">
        <v>10</v>
      </c>
      <c r="N634" s="37">
        <v>7930.8</v>
      </c>
      <c r="O634" s="37">
        <v>793.08</v>
      </c>
      <c r="P634" s="53">
        <v>7137.72</v>
      </c>
      <c r="Q634" s="37">
        <v>3011.18</v>
      </c>
      <c r="R634" s="37">
        <v>4126.54</v>
      </c>
      <c r="S634" s="3">
        <v>57.8</v>
      </c>
      <c r="T634" s="1" t="s">
        <v>44</v>
      </c>
      <c r="U634" s="15">
        <v>2</v>
      </c>
    </row>
    <row r="635" spans="1:21" x14ac:dyDescent="0.3">
      <c r="A635" s="14" t="s">
        <v>955</v>
      </c>
      <c r="B635" s="46">
        <v>45523</v>
      </c>
      <c r="C635" s="4" t="s">
        <v>895</v>
      </c>
      <c r="D635" s="42" t="s">
        <v>1375</v>
      </c>
      <c r="E635" s="4">
        <v>2024</v>
      </c>
      <c r="F635" s="4" t="s">
        <v>22</v>
      </c>
      <c r="G635" s="61" t="s">
        <v>46</v>
      </c>
      <c r="H635" s="5" t="s">
        <v>50</v>
      </c>
      <c r="I635" s="5" t="s">
        <v>55</v>
      </c>
      <c r="J635" s="5" t="s">
        <v>302</v>
      </c>
      <c r="K635" s="4">
        <v>16</v>
      </c>
      <c r="L635" s="38">
        <v>1183.55</v>
      </c>
      <c r="M635" s="6">
        <v>10</v>
      </c>
      <c r="N635" s="38">
        <v>18936.8</v>
      </c>
      <c r="O635" s="38">
        <v>1893.68</v>
      </c>
      <c r="P635" s="54">
        <v>17043.12</v>
      </c>
      <c r="Q635" s="38">
        <v>9874.1299999999992</v>
      </c>
      <c r="R635" s="38">
        <v>7168.99</v>
      </c>
      <c r="S635" s="6">
        <v>42.1</v>
      </c>
      <c r="T635" s="4" t="s">
        <v>44</v>
      </c>
      <c r="U635" s="16">
        <v>1</v>
      </c>
    </row>
    <row r="636" spans="1:21" x14ac:dyDescent="0.3">
      <c r="A636" s="13" t="s">
        <v>956</v>
      </c>
      <c r="B636" s="45">
        <v>45524</v>
      </c>
      <c r="C636" s="1" t="s">
        <v>895</v>
      </c>
      <c r="D636" s="41" t="s">
        <v>1375</v>
      </c>
      <c r="E636" s="1">
        <v>2024</v>
      </c>
      <c r="F636" s="1" t="s">
        <v>41</v>
      </c>
      <c r="G636" s="60" t="s">
        <v>58</v>
      </c>
      <c r="H636" s="2" t="s">
        <v>59</v>
      </c>
      <c r="I636" s="2" t="s">
        <v>31</v>
      </c>
      <c r="J636" s="2" t="s">
        <v>282</v>
      </c>
      <c r="K636" s="1">
        <v>12</v>
      </c>
      <c r="L636" s="37">
        <v>111.43</v>
      </c>
      <c r="M636" s="3">
        <v>5</v>
      </c>
      <c r="N636" s="37">
        <v>1337.16</v>
      </c>
      <c r="O636" s="37">
        <v>66.86</v>
      </c>
      <c r="P636" s="53">
        <v>1270.3</v>
      </c>
      <c r="Q636" s="37">
        <v>791.38</v>
      </c>
      <c r="R636" s="37">
        <v>478.92</v>
      </c>
      <c r="S636" s="3">
        <v>37.700000000000003</v>
      </c>
      <c r="T636" s="1" t="s">
        <v>44</v>
      </c>
      <c r="U636" s="15">
        <v>1</v>
      </c>
    </row>
    <row r="637" spans="1:21" x14ac:dyDescent="0.3">
      <c r="A637" s="14" t="s">
        <v>957</v>
      </c>
      <c r="B637" s="46">
        <v>45524</v>
      </c>
      <c r="C637" s="4" t="s">
        <v>895</v>
      </c>
      <c r="D637" s="42" t="s">
        <v>1375</v>
      </c>
      <c r="E637" s="4">
        <v>2024</v>
      </c>
      <c r="F637" s="4" t="s">
        <v>41</v>
      </c>
      <c r="G637" s="61" t="s">
        <v>42</v>
      </c>
      <c r="H637" s="5" t="s">
        <v>59</v>
      </c>
      <c r="I637" s="5" t="s">
        <v>47</v>
      </c>
      <c r="J637" s="5" t="s">
        <v>595</v>
      </c>
      <c r="K637" s="4">
        <v>19</v>
      </c>
      <c r="L637" s="38">
        <v>218.51</v>
      </c>
      <c r="M637" s="6">
        <v>15</v>
      </c>
      <c r="N637" s="38">
        <v>4151.6899999999996</v>
      </c>
      <c r="O637" s="38">
        <v>622.75</v>
      </c>
      <c r="P637" s="54">
        <v>3528.94</v>
      </c>
      <c r="Q637" s="38">
        <v>2090.09</v>
      </c>
      <c r="R637" s="38">
        <v>1438.85</v>
      </c>
      <c r="S637" s="6">
        <v>40.799999999999997</v>
      </c>
      <c r="T637" s="4" t="s">
        <v>33</v>
      </c>
      <c r="U637" s="16">
        <v>4</v>
      </c>
    </row>
    <row r="638" spans="1:21" x14ac:dyDescent="0.3">
      <c r="A638" s="13" t="s">
        <v>958</v>
      </c>
      <c r="B638" s="45">
        <v>45524</v>
      </c>
      <c r="C638" s="1" t="s">
        <v>895</v>
      </c>
      <c r="D638" s="41" t="s">
        <v>1375</v>
      </c>
      <c r="E638" s="1">
        <v>2024</v>
      </c>
      <c r="F638" s="1" t="s">
        <v>35</v>
      </c>
      <c r="G638" s="60" t="s">
        <v>122</v>
      </c>
      <c r="H638" s="2" t="s">
        <v>24</v>
      </c>
      <c r="I638" s="2" t="s">
        <v>38</v>
      </c>
      <c r="J638" s="2" t="s">
        <v>166</v>
      </c>
      <c r="K638" s="1">
        <v>17</v>
      </c>
      <c r="L638" s="37">
        <v>25.64</v>
      </c>
      <c r="M638" s="3">
        <v>15</v>
      </c>
      <c r="N638" s="37">
        <v>435.88</v>
      </c>
      <c r="O638" s="37">
        <v>65.38</v>
      </c>
      <c r="P638" s="53">
        <v>370.5</v>
      </c>
      <c r="Q638" s="37">
        <v>205.77</v>
      </c>
      <c r="R638" s="37">
        <v>164.73</v>
      </c>
      <c r="S638" s="3">
        <v>44.5</v>
      </c>
      <c r="T638" s="1" t="s">
        <v>33</v>
      </c>
      <c r="U638" s="15">
        <v>3</v>
      </c>
    </row>
    <row r="639" spans="1:21" x14ac:dyDescent="0.3">
      <c r="A639" s="14" t="s">
        <v>959</v>
      </c>
      <c r="B639" s="46">
        <v>45524</v>
      </c>
      <c r="C639" s="4" t="s">
        <v>895</v>
      </c>
      <c r="D639" s="42" t="s">
        <v>1375</v>
      </c>
      <c r="E639" s="4">
        <v>2024</v>
      </c>
      <c r="F639" s="4" t="s">
        <v>53</v>
      </c>
      <c r="G639" s="61" t="s">
        <v>54</v>
      </c>
      <c r="H639" s="5" t="s">
        <v>24</v>
      </c>
      <c r="I639" s="5" t="s">
        <v>47</v>
      </c>
      <c r="J639" s="5" t="s">
        <v>113</v>
      </c>
      <c r="K639" s="4">
        <v>11</v>
      </c>
      <c r="L639" s="38">
        <v>287.22000000000003</v>
      </c>
      <c r="M639" s="6">
        <v>0</v>
      </c>
      <c r="N639" s="38">
        <v>3159.42</v>
      </c>
      <c r="O639" s="38">
        <v>0</v>
      </c>
      <c r="P639" s="54">
        <v>3159.42</v>
      </c>
      <c r="Q639" s="38">
        <v>1375.62</v>
      </c>
      <c r="R639" s="38">
        <v>1783.8</v>
      </c>
      <c r="S639" s="6">
        <v>56.5</v>
      </c>
      <c r="T639" s="4" t="s">
        <v>44</v>
      </c>
      <c r="U639" s="16">
        <v>2</v>
      </c>
    </row>
    <row r="640" spans="1:21" x14ac:dyDescent="0.3">
      <c r="A640" s="13" t="s">
        <v>960</v>
      </c>
      <c r="B640" s="45">
        <v>45524</v>
      </c>
      <c r="C640" s="1" t="s">
        <v>895</v>
      </c>
      <c r="D640" s="41" t="s">
        <v>1375</v>
      </c>
      <c r="E640" s="1">
        <v>2024</v>
      </c>
      <c r="F640" s="1" t="s">
        <v>29</v>
      </c>
      <c r="G640" s="60" t="s">
        <v>91</v>
      </c>
      <c r="H640" s="2" t="s">
        <v>24</v>
      </c>
      <c r="I640" s="2" t="s">
        <v>47</v>
      </c>
      <c r="J640" s="2" t="s">
        <v>402</v>
      </c>
      <c r="K640" s="1">
        <v>13</v>
      </c>
      <c r="L640" s="37">
        <v>304</v>
      </c>
      <c r="M640" s="3">
        <v>15</v>
      </c>
      <c r="N640" s="37">
        <v>3952</v>
      </c>
      <c r="O640" s="37">
        <v>592.79999999999995</v>
      </c>
      <c r="P640" s="53">
        <v>3359.2</v>
      </c>
      <c r="Q640" s="37">
        <v>1924.41</v>
      </c>
      <c r="R640" s="37">
        <v>1434.79</v>
      </c>
      <c r="S640" s="3">
        <v>42.7</v>
      </c>
      <c r="T640" s="1" t="s">
        <v>44</v>
      </c>
      <c r="U640" s="15">
        <v>4</v>
      </c>
    </row>
    <row r="641" spans="1:21" x14ac:dyDescent="0.3">
      <c r="A641" s="14" t="s">
        <v>961</v>
      </c>
      <c r="B641" s="46">
        <v>45524</v>
      </c>
      <c r="C641" s="4" t="s">
        <v>895</v>
      </c>
      <c r="D641" s="42" t="s">
        <v>1375</v>
      </c>
      <c r="E641" s="4">
        <v>2024</v>
      </c>
      <c r="F641" s="4" t="s">
        <v>22</v>
      </c>
      <c r="G641" s="61" t="s">
        <v>66</v>
      </c>
      <c r="H641" s="5" t="s">
        <v>59</v>
      </c>
      <c r="I641" s="5" t="s">
        <v>47</v>
      </c>
      <c r="J641" s="5" t="s">
        <v>889</v>
      </c>
      <c r="K641" s="4">
        <v>9</v>
      </c>
      <c r="L641" s="38">
        <v>372.9</v>
      </c>
      <c r="M641" s="6">
        <v>5</v>
      </c>
      <c r="N641" s="38">
        <v>3356.1</v>
      </c>
      <c r="O641" s="38">
        <v>167.81</v>
      </c>
      <c r="P641" s="54">
        <v>3188.29</v>
      </c>
      <c r="Q641" s="38">
        <v>1889.52</v>
      </c>
      <c r="R641" s="38">
        <v>1298.77</v>
      </c>
      <c r="S641" s="6">
        <v>40.700000000000003</v>
      </c>
      <c r="T641" s="4" t="s">
        <v>44</v>
      </c>
      <c r="U641" s="16">
        <v>1</v>
      </c>
    </row>
    <row r="642" spans="1:21" x14ac:dyDescent="0.3">
      <c r="A642" s="13" t="s">
        <v>962</v>
      </c>
      <c r="B642" s="45">
        <v>45525</v>
      </c>
      <c r="C642" s="1" t="s">
        <v>895</v>
      </c>
      <c r="D642" s="41" t="s">
        <v>1375</v>
      </c>
      <c r="E642" s="1">
        <v>2024</v>
      </c>
      <c r="F642" s="1" t="s">
        <v>29</v>
      </c>
      <c r="G642" s="60" t="s">
        <v>30</v>
      </c>
      <c r="H642" s="2" t="s">
        <v>59</v>
      </c>
      <c r="I642" s="2" t="s">
        <v>55</v>
      </c>
      <c r="J642" s="2" t="s">
        <v>661</v>
      </c>
      <c r="K642" s="1">
        <v>6</v>
      </c>
      <c r="L642" s="37">
        <v>251.4</v>
      </c>
      <c r="M642" s="3">
        <v>0</v>
      </c>
      <c r="N642" s="37">
        <v>1508.4</v>
      </c>
      <c r="O642" s="37">
        <v>0</v>
      </c>
      <c r="P642" s="53">
        <v>1508.4</v>
      </c>
      <c r="Q642" s="37">
        <v>714.79</v>
      </c>
      <c r="R642" s="37">
        <v>793.61</v>
      </c>
      <c r="S642" s="3">
        <v>52.6</v>
      </c>
      <c r="T642" s="1" t="s">
        <v>33</v>
      </c>
      <c r="U642" s="15">
        <v>4</v>
      </c>
    </row>
    <row r="643" spans="1:21" x14ac:dyDescent="0.3">
      <c r="A643" s="14" t="s">
        <v>963</v>
      </c>
      <c r="B643" s="46">
        <v>45525</v>
      </c>
      <c r="C643" s="4" t="s">
        <v>895</v>
      </c>
      <c r="D643" s="42" t="s">
        <v>1375</v>
      </c>
      <c r="E643" s="4">
        <v>2024</v>
      </c>
      <c r="F643" s="4" t="s">
        <v>41</v>
      </c>
      <c r="G643" s="61" t="s">
        <v>36</v>
      </c>
      <c r="H643" s="5" t="s">
        <v>59</v>
      </c>
      <c r="I643" s="5" t="s">
        <v>31</v>
      </c>
      <c r="J643" s="5" t="s">
        <v>249</v>
      </c>
      <c r="K643" s="4">
        <v>1</v>
      </c>
      <c r="L643" s="38">
        <v>140.57</v>
      </c>
      <c r="M643" s="6">
        <v>0</v>
      </c>
      <c r="N643" s="38">
        <v>140.57</v>
      </c>
      <c r="O643" s="38">
        <v>0</v>
      </c>
      <c r="P643" s="54">
        <v>140.57</v>
      </c>
      <c r="Q643" s="38">
        <v>85.19</v>
      </c>
      <c r="R643" s="38">
        <v>55.38</v>
      </c>
      <c r="S643" s="6">
        <v>39.4</v>
      </c>
      <c r="T643" s="4" t="s">
        <v>44</v>
      </c>
      <c r="U643" s="16">
        <v>1</v>
      </c>
    </row>
    <row r="644" spans="1:21" x14ac:dyDescent="0.3">
      <c r="A644" s="13" t="s">
        <v>964</v>
      </c>
      <c r="B644" s="45">
        <v>45526</v>
      </c>
      <c r="C644" s="1" t="s">
        <v>895</v>
      </c>
      <c r="D644" s="41" t="s">
        <v>1375</v>
      </c>
      <c r="E644" s="1">
        <v>2024</v>
      </c>
      <c r="F644" s="1" t="s">
        <v>22</v>
      </c>
      <c r="G644" s="60" t="s">
        <v>54</v>
      </c>
      <c r="H644" s="2" t="s">
        <v>50</v>
      </c>
      <c r="I644" s="2" t="s">
        <v>31</v>
      </c>
      <c r="J644" s="2" t="s">
        <v>32</v>
      </c>
      <c r="K644" s="1">
        <v>11</v>
      </c>
      <c r="L644" s="37">
        <v>117.83</v>
      </c>
      <c r="M644" s="3">
        <v>20</v>
      </c>
      <c r="N644" s="37">
        <v>1296.1300000000001</v>
      </c>
      <c r="O644" s="37">
        <v>259.23</v>
      </c>
      <c r="P644" s="53">
        <v>1036.9000000000001</v>
      </c>
      <c r="Q644" s="37">
        <v>419.66</v>
      </c>
      <c r="R644" s="37">
        <v>617.24</v>
      </c>
      <c r="S644" s="3">
        <v>59.5</v>
      </c>
      <c r="T644" s="1" t="s">
        <v>27</v>
      </c>
      <c r="U644" s="15">
        <v>4</v>
      </c>
    </row>
    <row r="645" spans="1:21" x14ac:dyDescent="0.3">
      <c r="A645" s="14" t="s">
        <v>965</v>
      </c>
      <c r="B645" s="46">
        <v>45526</v>
      </c>
      <c r="C645" s="4" t="s">
        <v>895</v>
      </c>
      <c r="D645" s="42" t="s">
        <v>1375</v>
      </c>
      <c r="E645" s="4">
        <v>2024</v>
      </c>
      <c r="F645" s="4" t="s">
        <v>22</v>
      </c>
      <c r="G645" s="61" t="s">
        <v>54</v>
      </c>
      <c r="H645" s="5" t="s">
        <v>24</v>
      </c>
      <c r="I645" s="5" t="s">
        <v>25</v>
      </c>
      <c r="J645" s="5" t="s">
        <v>273</v>
      </c>
      <c r="K645" s="4">
        <v>20</v>
      </c>
      <c r="L645" s="38">
        <v>16.559999999999999</v>
      </c>
      <c r="M645" s="6">
        <v>15</v>
      </c>
      <c r="N645" s="38">
        <v>331.2</v>
      </c>
      <c r="O645" s="38">
        <v>49.68</v>
      </c>
      <c r="P645" s="54">
        <v>281.52</v>
      </c>
      <c r="Q645" s="38">
        <v>122.99</v>
      </c>
      <c r="R645" s="38">
        <v>158.53</v>
      </c>
      <c r="S645" s="6">
        <v>56.3</v>
      </c>
      <c r="T645" s="4" t="s">
        <v>44</v>
      </c>
      <c r="U645" s="16">
        <v>1</v>
      </c>
    </row>
    <row r="646" spans="1:21" x14ac:dyDescent="0.3">
      <c r="A646" s="13" t="s">
        <v>966</v>
      </c>
      <c r="B646" s="45">
        <v>45526</v>
      </c>
      <c r="C646" s="1" t="s">
        <v>895</v>
      </c>
      <c r="D646" s="41" t="s">
        <v>1375</v>
      </c>
      <c r="E646" s="1">
        <v>2024</v>
      </c>
      <c r="F646" s="1" t="s">
        <v>41</v>
      </c>
      <c r="G646" s="60" t="s">
        <v>36</v>
      </c>
      <c r="H646" s="2" t="s">
        <v>59</v>
      </c>
      <c r="I646" s="2" t="s">
        <v>38</v>
      </c>
      <c r="J646" s="2" t="s">
        <v>472</v>
      </c>
      <c r="K646" s="1">
        <v>8</v>
      </c>
      <c r="L646" s="37">
        <v>30.83</v>
      </c>
      <c r="M646" s="3">
        <v>0</v>
      </c>
      <c r="N646" s="37">
        <v>246.64</v>
      </c>
      <c r="O646" s="37">
        <v>0</v>
      </c>
      <c r="P646" s="53">
        <v>246.64</v>
      </c>
      <c r="Q646" s="37">
        <v>133.44999999999999</v>
      </c>
      <c r="R646" s="37">
        <v>113.19</v>
      </c>
      <c r="S646" s="3">
        <v>45.9</v>
      </c>
      <c r="T646" s="1" t="s">
        <v>44</v>
      </c>
      <c r="U646" s="15">
        <v>4</v>
      </c>
    </row>
    <row r="647" spans="1:21" x14ac:dyDescent="0.3">
      <c r="A647" s="14" t="s">
        <v>967</v>
      </c>
      <c r="B647" s="46">
        <v>45527</v>
      </c>
      <c r="C647" s="4" t="s">
        <v>895</v>
      </c>
      <c r="D647" s="42" t="s">
        <v>1375</v>
      </c>
      <c r="E647" s="4">
        <v>2024</v>
      </c>
      <c r="F647" s="4" t="s">
        <v>29</v>
      </c>
      <c r="G647" s="61" t="s">
        <v>91</v>
      </c>
      <c r="H647" s="5" t="s">
        <v>50</v>
      </c>
      <c r="I647" s="5" t="s">
        <v>75</v>
      </c>
      <c r="J647" s="5" t="s">
        <v>968</v>
      </c>
      <c r="K647" s="4">
        <v>1</v>
      </c>
      <c r="L647" s="38">
        <v>266.24</v>
      </c>
      <c r="M647" s="6">
        <v>0</v>
      </c>
      <c r="N647" s="38">
        <v>266.24</v>
      </c>
      <c r="O647" s="38">
        <v>0</v>
      </c>
      <c r="P647" s="54">
        <v>266.24</v>
      </c>
      <c r="Q647" s="38">
        <v>142.52000000000001</v>
      </c>
      <c r="R647" s="38">
        <v>123.72</v>
      </c>
      <c r="S647" s="6">
        <v>46.5</v>
      </c>
      <c r="T647" s="4" t="s">
        <v>33</v>
      </c>
      <c r="U647" s="16">
        <v>1</v>
      </c>
    </row>
    <row r="648" spans="1:21" x14ac:dyDescent="0.3">
      <c r="A648" s="13" t="s">
        <v>969</v>
      </c>
      <c r="B648" s="45">
        <v>45527</v>
      </c>
      <c r="C648" s="1" t="s">
        <v>895</v>
      </c>
      <c r="D648" s="41" t="s">
        <v>1375</v>
      </c>
      <c r="E648" s="1">
        <v>2024</v>
      </c>
      <c r="F648" s="1" t="s">
        <v>22</v>
      </c>
      <c r="G648" s="60" t="s">
        <v>54</v>
      </c>
      <c r="H648" s="2" t="s">
        <v>24</v>
      </c>
      <c r="I648" s="2" t="s">
        <v>55</v>
      </c>
      <c r="J648" s="2" t="s">
        <v>210</v>
      </c>
      <c r="K648" s="1">
        <v>9</v>
      </c>
      <c r="L648" s="37">
        <v>488.33</v>
      </c>
      <c r="M648" s="3">
        <v>0</v>
      </c>
      <c r="N648" s="37">
        <v>4394.97</v>
      </c>
      <c r="O648" s="37">
        <v>0</v>
      </c>
      <c r="P648" s="53">
        <v>4394.97</v>
      </c>
      <c r="Q648" s="37">
        <v>1897.05</v>
      </c>
      <c r="R648" s="37">
        <v>2497.92</v>
      </c>
      <c r="S648" s="3">
        <v>56.8</v>
      </c>
      <c r="T648" s="1" t="s">
        <v>33</v>
      </c>
      <c r="U648" s="15">
        <v>2</v>
      </c>
    </row>
    <row r="649" spans="1:21" x14ac:dyDescent="0.3">
      <c r="A649" s="14" t="s">
        <v>970</v>
      </c>
      <c r="B649" s="46">
        <v>45527</v>
      </c>
      <c r="C649" s="4" t="s">
        <v>895</v>
      </c>
      <c r="D649" s="42" t="s">
        <v>1375</v>
      </c>
      <c r="E649" s="4">
        <v>2024</v>
      </c>
      <c r="F649" s="4" t="s">
        <v>29</v>
      </c>
      <c r="G649" s="61" t="s">
        <v>36</v>
      </c>
      <c r="H649" s="5" t="s">
        <v>37</v>
      </c>
      <c r="I649" s="5" t="s">
        <v>31</v>
      </c>
      <c r="J649" s="5" t="s">
        <v>477</v>
      </c>
      <c r="K649" s="4">
        <v>2</v>
      </c>
      <c r="L649" s="38">
        <v>112.03</v>
      </c>
      <c r="M649" s="6">
        <v>0</v>
      </c>
      <c r="N649" s="38">
        <v>224.06</v>
      </c>
      <c r="O649" s="38">
        <v>0</v>
      </c>
      <c r="P649" s="54">
        <v>224.06</v>
      </c>
      <c r="Q649" s="38">
        <v>120.28</v>
      </c>
      <c r="R649" s="38">
        <v>103.78</v>
      </c>
      <c r="S649" s="6">
        <v>46.3</v>
      </c>
      <c r="T649" s="4" t="s">
        <v>44</v>
      </c>
      <c r="U649" s="16">
        <v>4</v>
      </c>
    </row>
    <row r="650" spans="1:21" x14ac:dyDescent="0.3">
      <c r="A650" s="13" t="s">
        <v>971</v>
      </c>
      <c r="B650" s="45">
        <v>45528</v>
      </c>
      <c r="C650" s="1" t="s">
        <v>895</v>
      </c>
      <c r="D650" s="41" t="s">
        <v>1375</v>
      </c>
      <c r="E650" s="1">
        <v>2024</v>
      </c>
      <c r="F650" s="1" t="s">
        <v>22</v>
      </c>
      <c r="G650" s="60" t="s">
        <v>54</v>
      </c>
      <c r="H650" s="2" t="s">
        <v>37</v>
      </c>
      <c r="I650" s="2" t="s">
        <v>38</v>
      </c>
      <c r="J650" s="2" t="s">
        <v>917</v>
      </c>
      <c r="K650" s="1">
        <v>16</v>
      </c>
      <c r="L650" s="37">
        <v>57.22</v>
      </c>
      <c r="M650" s="3">
        <v>20</v>
      </c>
      <c r="N650" s="37">
        <v>915.52</v>
      </c>
      <c r="O650" s="37">
        <v>183.1</v>
      </c>
      <c r="P650" s="53">
        <v>732.42</v>
      </c>
      <c r="Q650" s="37">
        <v>297.61</v>
      </c>
      <c r="R650" s="37">
        <v>434.81</v>
      </c>
      <c r="S650" s="3">
        <v>59.4</v>
      </c>
      <c r="T650" s="1" t="s">
        <v>44</v>
      </c>
      <c r="U650" s="15">
        <v>4</v>
      </c>
    </row>
    <row r="651" spans="1:21" x14ac:dyDescent="0.3">
      <c r="A651" s="14" t="s">
        <v>972</v>
      </c>
      <c r="B651" s="46">
        <v>45528</v>
      </c>
      <c r="C651" s="4" t="s">
        <v>895</v>
      </c>
      <c r="D651" s="42" t="s">
        <v>1375</v>
      </c>
      <c r="E651" s="4">
        <v>2024</v>
      </c>
      <c r="F651" s="4" t="s">
        <v>53</v>
      </c>
      <c r="G651" s="61" t="s">
        <v>30</v>
      </c>
      <c r="H651" s="5" t="s">
        <v>24</v>
      </c>
      <c r="I651" s="5" t="s">
        <v>38</v>
      </c>
      <c r="J651" s="5" t="s">
        <v>107</v>
      </c>
      <c r="K651" s="4">
        <v>17</v>
      </c>
      <c r="L651" s="38">
        <v>35.619999999999997</v>
      </c>
      <c r="M651" s="6">
        <v>15</v>
      </c>
      <c r="N651" s="38">
        <v>605.54</v>
      </c>
      <c r="O651" s="38">
        <v>90.83</v>
      </c>
      <c r="P651" s="54">
        <v>514.71</v>
      </c>
      <c r="Q651" s="38">
        <v>183.14</v>
      </c>
      <c r="R651" s="38">
        <v>331.57</v>
      </c>
      <c r="S651" s="6">
        <v>64.400000000000006</v>
      </c>
      <c r="T651" s="4" t="s">
        <v>44</v>
      </c>
      <c r="U651" s="16">
        <v>3</v>
      </c>
    </row>
    <row r="652" spans="1:21" x14ac:dyDescent="0.3">
      <c r="A652" s="13" t="s">
        <v>973</v>
      </c>
      <c r="B652" s="45">
        <v>45528</v>
      </c>
      <c r="C652" s="1" t="s">
        <v>895</v>
      </c>
      <c r="D652" s="41" t="s">
        <v>1375</v>
      </c>
      <c r="E652" s="1">
        <v>2024</v>
      </c>
      <c r="F652" s="1" t="s">
        <v>35</v>
      </c>
      <c r="G652" s="60" t="s">
        <v>23</v>
      </c>
      <c r="H652" s="2" t="s">
        <v>24</v>
      </c>
      <c r="I652" s="2" t="s">
        <v>55</v>
      </c>
      <c r="J652" s="2" t="s">
        <v>455</v>
      </c>
      <c r="K652" s="1">
        <v>12</v>
      </c>
      <c r="L652" s="37">
        <v>394.87</v>
      </c>
      <c r="M652" s="3">
        <v>20</v>
      </c>
      <c r="N652" s="37">
        <v>4738.4399999999996</v>
      </c>
      <c r="O652" s="37">
        <v>947.69</v>
      </c>
      <c r="P652" s="53">
        <v>3790.75</v>
      </c>
      <c r="Q652" s="37">
        <v>1383.21</v>
      </c>
      <c r="R652" s="37">
        <v>2407.54</v>
      </c>
      <c r="S652" s="3">
        <v>63.5</v>
      </c>
      <c r="T652" s="1" t="s">
        <v>33</v>
      </c>
      <c r="U652" s="15">
        <v>4</v>
      </c>
    </row>
    <row r="653" spans="1:21" x14ac:dyDescent="0.3">
      <c r="A653" s="14" t="s">
        <v>974</v>
      </c>
      <c r="B653" s="46">
        <v>45529</v>
      </c>
      <c r="C653" s="4" t="s">
        <v>895</v>
      </c>
      <c r="D653" s="42" t="s">
        <v>1375</v>
      </c>
      <c r="E653" s="4">
        <v>2024</v>
      </c>
      <c r="F653" s="4" t="s">
        <v>41</v>
      </c>
      <c r="G653" s="61" t="s">
        <v>30</v>
      </c>
      <c r="H653" s="5" t="s">
        <v>24</v>
      </c>
      <c r="I653" s="5" t="s">
        <v>55</v>
      </c>
      <c r="J653" s="5" t="s">
        <v>655</v>
      </c>
      <c r="K653" s="4">
        <v>19</v>
      </c>
      <c r="L653" s="38">
        <v>261.45999999999998</v>
      </c>
      <c r="M653" s="6">
        <v>0</v>
      </c>
      <c r="N653" s="38">
        <v>4967.74</v>
      </c>
      <c r="O653" s="38">
        <v>0</v>
      </c>
      <c r="P653" s="54">
        <v>4967.74</v>
      </c>
      <c r="Q653" s="38">
        <v>2535.9899999999998</v>
      </c>
      <c r="R653" s="38">
        <v>2431.75</v>
      </c>
      <c r="S653" s="6">
        <v>49</v>
      </c>
      <c r="T653" s="4" t="s">
        <v>44</v>
      </c>
      <c r="U653" s="16">
        <v>2</v>
      </c>
    </row>
    <row r="654" spans="1:21" x14ac:dyDescent="0.3">
      <c r="A654" s="13" t="s">
        <v>975</v>
      </c>
      <c r="B654" s="45">
        <v>45529</v>
      </c>
      <c r="C654" s="1" t="s">
        <v>895</v>
      </c>
      <c r="D654" s="41" t="s">
        <v>1375</v>
      </c>
      <c r="E654" s="1">
        <v>2024</v>
      </c>
      <c r="F654" s="1" t="s">
        <v>35</v>
      </c>
      <c r="G654" s="60" t="s">
        <v>30</v>
      </c>
      <c r="H654" s="2" t="s">
        <v>37</v>
      </c>
      <c r="I654" s="2" t="s">
        <v>38</v>
      </c>
      <c r="J654" s="2" t="s">
        <v>39</v>
      </c>
      <c r="K654" s="1">
        <v>8</v>
      </c>
      <c r="L654" s="37">
        <v>45.34</v>
      </c>
      <c r="M654" s="3">
        <v>10</v>
      </c>
      <c r="N654" s="37">
        <v>362.72</v>
      </c>
      <c r="O654" s="37">
        <v>36.270000000000003</v>
      </c>
      <c r="P654" s="53">
        <v>326.45</v>
      </c>
      <c r="Q654" s="37">
        <v>132.47</v>
      </c>
      <c r="R654" s="37">
        <v>193.98</v>
      </c>
      <c r="S654" s="3">
        <v>59.4</v>
      </c>
      <c r="T654" s="1" t="s">
        <v>44</v>
      </c>
      <c r="U654" s="15">
        <v>2</v>
      </c>
    </row>
    <row r="655" spans="1:21" x14ac:dyDescent="0.3">
      <c r="A655" s="14" t="s">
        <v>976</v>
      </c>
      <c r="B655" s="46">
        <v>45529</v>
      </c>
      <c r="C655" s="4" t="s">
        <v>895</v>
      </c>
      <c r="D655" s="42" t="s">
        <v>1375</v>
      </c>
      <c r="E655" s="4">
        <v>2024</v>
      </c>
      <c r="F655" s="4" t="s">
        <v>29</v>
      </c>
      <c r="G655" s="61" t="s">
        <v>66</v>
      </c>
      <c r="H655" s="5" t="s">
        <v>50</v>
      </c>
      <c r="I655" s="5" t="s">
        <v>25</v>
      </c>
      <c r="J655" s="5" t="s">
        <v>26</v>
      </c>
      <c r="K655" s="4">
        <v>6</v>
      </c>
      <c r="L655" s="38">
        <v>43.74</v>
      </c>
      <c r="M655" s="6">
        <v>10</v>
      </c>
      <c r="N655" s="38">
        <v>262.44</v>
      </c>
      <c r="O655" s="38">
        <v>26.24</v>
      </c>
      <c r="P655" s="54">
        <v>236.2</v>
      </c>
      <c r="Q655" s="38">
        <v>89.92</v>
      </c>
      <c r="R655" s="38">
        <v>146.28</v>
      </c>
      <c r="S655" s="6">
        <v>61.9</v>
      </c>
      <c r="T655" s="4" t="s">
        <v>44</v>
      </c>
      <c r="U655" s="16">
        <v>3</v>
      </c>
    </row>
    <row r="656" spans="1:21" x14ac:dyDescent="0.3">
      <c r="A656" s="13" t="s">
        <v>977</v>
      </c>
      <c r="B656" s="45">
        <v>45530</v>
      </c>
      <c r="C656" s="1" t="s">
        <v>895</v>
      </c>
      <c r="D656" s="41" t="s">
        <v>1375</v>
      </c>
      <c r="E656" s="1">
        <v>2024</v>
      </c>
      <c r="F656" s="1" t="s">
        <v>35</v>
      </c>
      <c r="G656" s="60" t="s">
        <v>46</v>
      </c>
      <c r="H656" s="2" t="s">
        <v>37</v>
      </c>
      <c r="I656" s="2" t="s">
        <v>31</v>
      </c>
      <c r="J656" s="2" t="s">
        <v>32</v>
      </c>
      <c r="K656" s="1">
        <v>4</v>
      </c>
      <c r="L656" s="37">
        <v>56.69</v>
      </c>
      <c r="M656" s="3">
        <v>0</v>
      </c>
      <c r="N656" s="37">
        <v>226.76</v>
      </c>
      <c r="O656" s="37">
        <v>0</v>
      </c>
      <c r="P656" s="53">
        <v>226.76</v>
      </c>
      <c r="Q656" s="37">
        <v>97.68</v>
      </c>
      <c r="R656" s="37">
        <v>129.08000000000001</v>
      </c>
      <c r="S656" s="3">
        <v>56.9</v>
      </c>
      <c r="T656" s="1" t="s">
        <v>44</v>
      </c>
      <c r="U656" s="15">
        <v>1</v>
      </c>
    </row>
    <row r="657" spans="1:21" x14ac:dyDescent="0.3">
      <c r="A657" s="14" t="s">
        <v>978</v>
      </c>
      <c r="B657" s="46">
        <v>45530</v>
      </c>
      <c r="C657" s="4" t="s">
        <v>895</v>
      </c>
      <c r="D657" s="42" t="s">
        <v>1375</v>
      </c>
      <c r="E657" s="4">
        <v>2024</v>
      </c>
      <c r="F657" s="4" t="s">
        <v>35</v>
      </c>
      <c r="G657" s="61" t="s">
        <v>23</v>
      </c>
      <c r="H657" s="5" t="s">
        <v>59</v>
      </c>
      <c r="I657" s="5" t="s">
        <v>75</v>
      </c>
      <c r="J657" s="5" t="s">
        <v>87</v>
      </c>
      <c r="K657" s="4">
        <v>8</v>
      </c>
      <c r="L657" s="38">
        <v>346.58</v>
      </c>
      <c r="M657" s="6">
        <v>15</v>
      </c>
      <c r="N657" s="38">
        <v>2772.64</v>
      </c>
      <c r="O657" s="38">
        <v>415.9</v>
      </c>
      <c r="P657" s="54">
        <v>2356.7399999999998</v>
      </c>
      <c r="Q657" s="38">
        <v>1330.52</v>
      </c>
      <c r="R657" s="38">
        <v>1026.22</v>
      </c>
      <c r="S657" s="6">
        <v>43.5</v>
      </c>
      <c r="T657" s="4" t="s">
        <v>44</v>
      </c>
      <c r="U657" s="16">
        <v>2</v>
      </c>
    </row>
    <row r="658" spans="1:21" x14ac:dyDescent="0.3">
      <c r="A658" s="13" t="s">
        <v>979</v>
      </c>
      <c r="B658" s="45">
        <v>45530</v>
      </c>
      <c r="C658" s="1" t="s">
        <v>895</v>
      </c>
      <c r="D658" s="41" t="s">
        <v>1375</v>
      </c>
      <c r="E658" s="1">
        <v>2024</v>
      </c>
      <c r="F658" s="1" t="s">
        <v>35</v>
      </c>
      <c r="G658" s="60" t="s">
        <v>66</v>
      </c>
      <c r="H658" s="2" t="s">
        <v>24</v>
      </c>
      <c r="I658" s="2" t="s">
        <v>75</v>
      </c>
      <c r="J658" s="2" t="s">
        <v>674</v>
      </c>
      <c r="K658" s="1">
        <v>8</v>
      </c>
      <c r="L658" s="37">
        <v>79.13</v>
      </c>
      <c r="M658" s="3">
        <v>0</v>
      </c>
      <c r="N658" s="37">
        <v>633.04</v>
      </c>
      <c r="O658" s="37">
        <v>0</v>
      </c>
      <c r="P658" s="53">
        <v>633.04</v>
      </c>
      <c r="Q658" s="37">
        <v>359.65</v>
      </c>
      <c r="R658" s="37">
        <v>273.39</v>
      </c>
      <c r="S658" s="3">
        <v>43.2</v>
      </c>
      <c r="T658" s="1" t="s">
        <v>44</v>
      </c>
      <c r="U658" s="15">
        <v>5</v>
      </c>
    </row>
    <row r="659" spans="1:21" x14ac:dyDescent="0.3">
      <c r="A659" s="14" t="s">
        <v>980</v>
      </c>
      <c r="B659" s="46">
        <v>45530</v>
      </c>
      <c r="C659" s="4" t="s">
        <v>895</v>
      </c>
      <c r="D659" s="42" t="s">
        <v>1375</v>
      </c>
      <c r="E659" s="4">
        <v>2024</v>
      </c>
      <c r="F659" s="4" t="s">
        <v>35</v>
      </c>
      <c r="G659" s="61" t="s">
        <v>36</v>
      </c>
      <c r="H659" s="5" t="s">
        <v>37</v>
      </c>
      <c r="I659" s="5" t="s">
        <v>75</v>
      </c>
      <c r="J659" s="5" t="s">
        <v>221</v>
      </c>
      <c r="K659" s="4">
        <v>9</v>
      </c>
      <c r="L659" s="38">
        <v>198.63</v>
      </c>
      <c r="M659" s="6">
        <v>0</v>
      </c>
      <c r="N659" s="38">
        <v>1787.67</v>
      </c>
      <c r="O659" s="38">
        <v>0</v>
      </c>
      <c r="P659" s="54">
        <v>1787.67</v>
      </c>
      <c r="Q659" s="38">
        <v>750.54</v>
      </c>
      <c r="R659" s="38">
        <v>1037.1300000000001</v>
      </c>
      <c r="S659" s="6">
        <v>58</v>
      </c>
      <c r="T659" s="4" t="s">
        <v>44</v>
      </c>
      <c r="U659" s="16">
        <v>5</v>
      </c>
    </row>
    <row r="660" spans="1:21" x14ac:dyDescent="0.3">
      <c r="A660" s="13" t="s">
        <v>981</v>
      </c>
      <c r="B660" s="45">
        <v>45531</v>
      </c>
      <c r="C660" s="1" t="s">
        <v>895</v>
      </c>
      <c r="D660" s="41" t="s">
        <v>1375</v>
      </c>
      <c r="E660" s="1">
        <v>2024</v>
      </c>
      <c r="F660" s="1" t="s">
        <v>41</v>
      </c>
      <c r="G660" s="60" t="s">
        <v>30</v>
      </c>
      <c r="H660" s="2" t="s">
        <v>24</v>
      </c>
      <c r="I660" s="2" t="s">
        <v>47</v>
      </c>
      <c r="J660" s="2" t="s">
        <v>588</v>
      </c>
      <c r="K660" s="1">
        <v>18</v>
      </c>
      <c r="L660" s="37">
        <v>47.66</v>
      </c>
      <c r="M660" s="3">
        <v>0</v>
      </c>
      <c r="N660" s="37">
        <v>857.88</v>
      </c>
      <c r="O660" s="37">
        <v>0</v>
      </c>
      <c r="P660" s="53">
        <v>857.88</v>
      </c>
      <c r="Q660" s="37">
        <v>339.04</v>
      </c>
      <c r="R660" s="37">
        <v>518.84</v>
      </c>
      <c r="S660" s="3">
        <v>60.5</v>
      </c>
      <c r="T660" s="1" t="s">
        <v>44</v>
      </c>
      <c r="U660" s="15">
        <v>1</v>
      </c>
    </row>
    <row r="661" spans="1:21" x14ac:dyDescent="0.3">
      <c r="A661" s="14" t="s">
        <v>982</v>
      </c>
      <c r="B661" s="46">
        <v>45531</v>
      </c>
      <c r="C661" s="4" t="s">
        <v>895</v>
      </c>
      <c r="D661" s="42" t="s">
        <v>1375</v>
      </c>
      <c r="E661" s="4">
        <v>2024</v>
      </c>
      <c r="F661" s="4" t="s">
        <v>53</v>
      </c>
      <c r="G661" s="61" t="s">
        <v>66</v>
      </c>
      <c r="H661" s="5" t="s">
        <v>50</v>
      </c>
      <c r="I661" s="5" t="s">
        <v>31</v>
      </c>
      <c r="J661" s="5" t="s">
        <v>779</v>
      </c>
      <c r="K661" s="4">
        <v>2</v>
      </c>
      <c r="L661" s="38">
        <v>91.35</v>
      </c>
      <c r="M661" s="6">
        <v>5</v>
      </c>
      <c r="N661" s="38">
        <v>182.7</v>
      </c>
      <c r="O661" s="38">
        <v>9.1300000000000008</v>
      </c>
      <c r="P661" s="54">
        <v>173.57</v>
      </c>
      <c r="Q661" s="38">
        <v>86.45</v>
      </c>
      <c r="R661" s="38">
        <v>87.12</v>
      </c>
      <c r="S661" s="6">
        <v>50.2</v>
      </c>
      <c r="T661" s="4" t="s">
        <v>33</v>
      </c>
      <c r="U661" s="16">
        <v>1</v>
      </c>
    </row>
    <row r="662" spans="1:21" x14ac:dyDescent="0.3">
      <c r="A662" s="13" t="s">
        <v>983</v>
      </c>
      <c r="B662" s="45">
        <v>45531</v>
      </c>
      <c r="C662" s="1" t="s">
        <v>895</v>
      </c>
      <c r="D662" s="41" t="s">
        <v>1375</v>
      </c>
      <c r="E662" s="1">
        <v>2024</v>
      </c>
      <c r="F662" s="1" t="s">
        <v>53</v>
      </c>
      <c r="G662" s="60" t="s">
        <v>42</v>
      </c>
      <c r="H662" s="2" t="s">
        <v>59</v>
      </c>
      <c r="I662" s="2" t="s">
        <v>47</v>
      </c>
      <c r="J662" s="2" t="s">
        <v>588</v>
      </c>
      <c r="K662" s="1">
        <v>8</v>
      </c>
      <c r="L662" s="37">
        <v>219.92</v>
      </c>
      <c r="M662" s="3">
        <v>0</v>
      </c>
      <c r="N662" s="37">
        <v>1759.36</v>
      </c>
      <c r="O662" s="37">
        <v>0</v>
      </c>
      <c r="P662" s="53">
        <v>1759.36</v>
      </c>
      <c r="Q662" s="37">
        <v>796.24</v>
      </c>
      <c r="R662" s="37">
        <v>963.12</v>
      </c>
      <c r="S662" s="3">
        <v>54.7</v>
      </c>
      <c r="T662" s="1" t="s">
        <v>33</v>
      </c>
      <c r="U662" s="15">
        <v>3</v>
      </c>
    </row>
    <row r="663" spans="1:21" x14ac:dyDescent="0.3">
      <c r="A663" s="14" t="s">
        <v>984</v>
      </c>
      <c r="B663" s="46">
        <v>45532</v>
      </c>
      <c r="C663" s="4" t="s">
        <v>895</v>
      </c>
      <c r="D663" s="42" t="s">
        <v>1375</v>
      </c>
      <c r="E663" s="4">
        <v>2024</v>
      </c>
      <c r="F663" s="4" t="s">
        <v>35</v>
      </c>
      <c r="G663" s="61" t="s">
        <v>58</v>
      </c>
      <c r="H663" s="5" t="s">
        <v>37</v>
      </c>
      <c r="I663" s="5" t="s">
        <v>47</v>
      </c>
      <c r="J663" s="5" t="s">
        <v>227</v>
      </c>
      <c r="K663" s="4">
        <v>19</v>
      </c>
      <c r="L663" s="38">
        <v>274.39999999999998</v>
      </c>
      <c r="M663" s="6">
        <v>20</v>
      </c>
      <c r="N663" s="38">
        <v>5213.6000000000004</v>
      </c>
      <c r="O663" s="38">
        <v>1042.72</v>
      </c>
      <c r="P663" s="54">
        <v>4170.88</v>
      </c>
      <c r="Q663" s="38">
        <v>1849.67</v>
      </c>
      <c r="R663" s="38">
        <v>2321.21</v>
      </c>
      <c r="S663" s="6">
        <v>55.7</v>
      </c>
      <c r="T663" s="4" t="s">
        <v>44</v>
      </c>
      <c r="U663" s="16">
        <v>3</v>
      </c>
    </row>
    <row r="664" spans="1:21" x14ac:dyDescent="0.3">
      <c r="A664" s="13" t="s">
        <v>985</v>
      </c>
      <c r="B664" s="45">
        <v>45532</v>
      </c>
      <c r="C664" s="1" t="s">
        <v>895</v>
      </c>
      <c r="D664" s="41" t="s">
        <v>1375</v>
      </c>
      <c r="E664" s="1">
        <v>2024</v>
      </c>
      <c r="F664" s="1" t="s">
        <v>53</v>
      </c>
      <c r="G664" s="60" t="s">
        <v>66</v>
      </c>
      <c r="H664" s="2" t="s">
        <v>50</v>
      </c>
      <c r="I664" s="2" t="s">
        <v>38</v>
      </c>
      <c r="J664" s="2" t="s">
        <v>412</v>
      </c>
      <c r="K664" s="1">
        <v>13</v>
      </c>
      <c r="L664" s="37">
        <v>34.130000000000003</v>
      </c>
      <c r="M664" s="3">
        <v>15</v>
      </c>
      <c r="N664" s="37">
        <v>443.69</v>
      </c>
      <c r="O664" s="37">
        <v>66.55</v>
      </c>
      <c r="P664" s="53">
        <v>377.14</v>
      </c>
      <c r="Q664" s="37">
        <v>222.45</v>
      </c>
      <c r="R664" s="37">
        <v>154.69</v>
      </c>
      <c r="S664" s="3">
        <v>41</v>
      </c>
      <c r="T664" s="1" t="s">
        <v>44</v>
      </c>
      <c r="U664" s="15">
        <v>4</v>
      </c>
    </row>
    <row r="665" spans="1:21" x14ac:dyDescent="0.3">
      <c r="A665" s="14" t="s">
        <v>986</v>
      </c>
      <c r="B665" s="46">
        <v>45532</v>
      </c>
      <c r="C665" s="4" t="s">
        <v>895</v>
      </c>
      <c r="D665" s="42" t="s">
        <v>1375</v>
      </c>
      <c r="E665" s="4">
        <v>2024</v>
      </c>
      <c r="F665" s="4" t="s">
        <v>53</v>
      </c>
      <c r="G665" s="61" t="s">
        <v>46</v>
      </c>
      <c r="H665" s="5" t="s">
        <v>50</v>
      </c>
      <c r="I665" s="5" t="s">
        <v>47</v>
      </c>
      <c r="J665" s="5" t="s">
        <v>379</v>
      </c>
      <c r="K665" s="4">
        <v>12</v>
      </c>
      <c r="L665" s="38">
        <v>142.4</v>
      </c>
      <c r="M665" s="6">
        <v>15</v>
      </c>
      <c r="N665" s="38">
        <v>1708.8</v>
      </c>
      <c r="O665" s="38">
        <v>256.32</v>
      </c>
      <c r="P665" s="54">
        <v>1452.48</v>
      </c>
      <c r="Q665" s="38">
        <v>943.22</v>
      </c>
      <c r="R665" s="38">
        <v>509.26</v>
      </c>
      <c r="S665" s="6">
        <v>35.1</v>
      </c>
      <c r="T665" s="4" t="s">
        <v>44</v>
      </c>
      <c r="U665" s="16">
        <v>5</v>
      </c>
    </row>
    <row r="666" spans="1:21" x14ac:dyDescent="0.3">
      <c r="A666" s="13" t="s">
        <v>987</v>
      </c>
      <c r="B666" s="45">
        <v>45532</v>
      </c>
      <c r="C666" s="1" t="s">
        <v>895</v>
      </c>
      <c r="D666" s="41" t="s">
        <v>1375</v>
      </c>
      <c r="E666" s="1">
        <v>2024</v>
      </c>
      <c r="F666" s="1" t="s">
        <v>41</v>
      </c>
      <c r="G666" s="60" t="s">
        <v>30</v>
      </c>
      <c r="H666" s="2" t="s">
        <v>59</v>
      </c>
      <c r="I666" s="2" t="s">
        <v>25</v>
      </c>
      <c r="J666" s="2" t="s">
        <v>216</v>
      </c>
      <c r="K666" s="1">
        <v>6</v>
      </c>
      <c r="L666" s="37">
        <v>56.24</v>
      </c>
      <c r="M666" s="3">
        <v>15</v>
      </c>
      <c r="N666" s="37">
        <v>337.44</v>
      </c>
      <c r="O666" s="37">
        <v>50.62</v>
      </c>
      <c r="P666" s="53">
        <v>286.82</v>
      </c>
      <c r="Q666" s="37">
        <v>140.29</v>
      </c>
      <c r="R666" s="37">
        <v>146.53</v>
      </c>
      <c r="S666" s="3">
        <v>51.1</v>
      </c>
      <c r="T666" s="1" t="s">
        <v>44</v>
      </c>
      <c r="U666" s="15">
        <v>5</v>
      </c>
    </row>
    <row r="667" spans="1:21" x14ac:dyDescent="0.3">
      <c r="A667" s="14" t="s">
        <v>988</v>
      </c>
      <c r="B667" s="46">
        <v>45534</v>
      </c>
      <c r="C667" s="4" t="s">
        <v>895</v>
      </c>
      <c r="D667" s="42" t="s">
        <v>1375</v>
      </c>
      <c r="E667" s="4">
        <v>2024</v>
      </c>
      <c r="F667" s="4" t="s">
        <v>35</v>
      </c>
      <c r="G667" s="61" t="s">
        <v>91</v>
      </c>
      <c r="H667" s="5" t="s">
        <v>59</v>
      </c>
      <c r="I667" s="5" t="s">
        <v>25</v>
      </c>
      <c r="J667" s="5" t="s">
        <v>125</v>
      </c>
      <c r="K667" s="4">
        <v>6</v>
      </c>
      <c r="L667" s="38">
        <v>21.07</v>
      </c>
      <c r="M667" s="6">
        <v>5</v>
      </c>
      <c r="N667" s="38">
        <v>126.42</v>
      </c>
      <c r="O667" s="38">
        <v>6.32</v>
      </c>
      <c r="P667" s="54">
        <v>120.1</v>
      </c>
      <c r="Q667" s="38">
        <v>70.55</v>
      </c>
      <c r="R667" s="38">
        <v>49.55</v>
      </c>
      <c r="S667" s="6">
        <v>41.3</v>
      </c>
      <c r="T667" s="4" t="s">
        <v>33</v>
      </c>
      <c r="U667" s="16">
        <v>5</v>
      </c>
    </row>
    <row r="668" spans="1:21" x14ac:dyDescent="0.3">
      <c r="A668" s="13" t="s">
        <v>989</v>
      </c>
      <c r="B668" s="45">
        <v>45534</v>
      </c>
      <c r="C668" s="1" t="s">
        <v>895</v>
      </c>
      <c r="D668" s="41" t="s">
        <v>1375</v>
      </c>
      <c r="E668" s="1">
        <v>2024</v>
      </c>
      <c r="F668" s="1" t="s">
        <v>29</v>
      </c>
      <c r="G668" s="60" t="s">
        <v>66</v>
      </c>
      <c r="H668" s="2" t="s">
        <v>59</v>
      </c>
      <c r="I668" s="2" t="s">
        <v>55</v>
      </c>
      <c r="J668" s="2" t="s">
        <v>990</v>
      </c>
      <c r="K668" s="1">
        <v>8</v>
      </c>
      <c r="L668" s="37">
        <v>567.25</v>
      </c>
      <c r="M668" s="3">
        <v>0</v>
      </c>
      <c r="N668" s="37">
        <v>4538</v>
      </c>
      <c r="O668" s="37">
        <v>0</v>
      </c>
      <c r="P668" s="53">
        <v>4538</v>
      </c>
      <c r="Q668" s="37">
        <v>2037.9</v>
      </c>
      <c r="R668" s="37">
        <v>2500.1</v>
      </c>
      <c r="S668" s="3">
        <v>55.1</v>
      </c>
      <c r="T668" s="1" t="s">
        <v>44</v>
      </c>
      <c r="U668" s="15">
        <v>1</v>
      </c>
    </row>
    <row r="669" spans="1:21" x14ac:dyDescent="0.3">
      <c r="A669" s="14" t="s">
        <v>991</v>
      </c>
      <c r="B669" s="46">
        <v>45534</v>
      </c>
      <c r="C669" s="4" t="s">
        <v>895</v>
      </c>
      <c r="D669" s="42" t="s">
        <v>1375</v>
      </c>
      <c r="E669" s="4">
        <v>2024</v>
      </c>
      <c r="F669" s="4" t="s">
        <v>35</v>
      </c>
      <c r="G669" s="61" t="s">
        <v>30</v>
      </c>
      <c r="H669" s="5" t="s">
        <v>50</v>
      </c>
      <c r="I669" s="5" t="s">
        <v>55</v>
      </c>
      <c r="J669" s="5" t="s">
        <v>115</v>
      </c>
      <c r="K669" s="4">
        <v>19</v>
      </c>
      <c r="L669" s="38">
        <v>476.74</v>
      </c>
      <c r="M669" s="6">
        <v>0</v>
      </c>
      <c r="N669" s="38">
        <v>9058.06</v>
      </c>
      <c r="O669" s="38">
        <v>0</v>
      </c>
      <c r="P669" s="54">
        <v>9058.06</v>
      </c>
      <c r="Q669" s="38">
        <v>5462.59</v>
      </c>
      <c r="R669" s="38">
        <v>3595.47</v>
      </c>
      <c r="S669" s="6">
        <v>39.700000000000003</v>
      </c>
      <c r="T669" s="4" t="s">
        <v>44</v>
      </c>
      <c r="U669" s="16">
        <v>2</v>
      </c>
    </row>
    <row r="670" spans="1:21" x14ac:dyDescent="0.3">
      <c r="A670" s="13" t="s">
        <v>992</v>
      </c>
      <c r="B670" s="45">
        <v>45534</v>
      </c>
      <c r="C670" s="1" t="s">
        <v>895</v>
      </c>
      <c r="D670" s="41" t="s">
        <v>1375</v>
      </c>
      <c r="E670" s="1">
        <v>2024</v>
      </c>
      <c r="F670" s="1" t="s">
        <v>53</v>
      </c>
      <c r="G670" s="60" t="s">
        <v>91</v>
      </c>
      <c r="H670" s="2" t="s">
        <v>37</v>
      </c>
      <c r="I670" s="2" t="s">
        <v>31</v>
      </c>
      <c r="J670" s="2" t="s">
        <v>258</v>
      </c>
      <c r="K670" s="1">
        <v>11</v>
      </c>
      <c r="L670" s="37">
        <v>114.09</v>
      </c>
      <c r="M670" s="3">
        <v>10</v>
      </c>
      <c r="N670" s="37">
        <v>1254.99</v>
      </c>
      <c r="O670" s="37">
        <v>125.5</v>
      </c>
      <c r="P670" s="53">
        <v>1129.49</v>
      </c>
      <c r="Q670" s="37">
        <v>717.78</v>
      </c>
      <c r="R670" s="37">
        <v>411.71</v>
      </c>
      <c r="S670" s="3">
        <v>36.5</v>
      </c>
      <c r="T670" s="1" t="s">
        <v>33</v>
      </c>
      <c r="U670" s="15">
        <v>5</v>
      </c>
    </row>
    <row r="671" spans="1:21" x14ac:dyDescent="0.3">
      <c r="A671" s="14" t="s">
        <v>993</v>
      </c>
      <c r="B671" s="46">
        <v>45534</v>
      </c>
      <c r="C671" s="4" t="s">
        <v>895</v>
      </c>
      <c r="D671" s="42" t="s">
        <v>1375</v>
      </c>
      <c r="E671" s="4">
        <v>2024</v>
      </c>
      <c r="F671" s="4" t="s">
        <v>29</v>
      </c>
      <c r="G671" s="61" t="s">
        <v>66</v>
      </c>
      <c r="H671" s="5" t="s">
        <v>50</v>
      </c>
      <c r="I671" s="5" t="s">
        <v>31</v>
      </c>
      <c r="J671" s="5" t="s">
        <v>994</v>
      </c>
      <c r="K671" s="4">
        <v>12</v>
      </c>
      <c r="L671" s="38">
        <v>168.44</v>
      </c>
      <c r="M671" s="6">
        <v>0</v>
      </c>
      <c r="N671" s="38">
        <v>2021.28</v>
      </c>
      <c r="O671" s="38">
        <v>0</v>
      </c>
      <c r="P671" s="54">
        <v>2021.28</v>
      </c>
      <c r="Q671" s="38">
        <v>741.43</v>
      </c>
      <c r="R671" s="38">
        <v>1279.8499999999999</v>
      </c>
      <c r="S671" s="6">
        <v>63.3</v>
      </c>
      <c r="T671" s="4" t="s">
        <v>33</v>
      </c>
      <c r="U671" s="16">
        <v>3</v>
      </c>
    </row>
    <row r="672" spans="1:21" x14ac:dyDescent="0.3">
      <c r="A672" s="13" t="s">
        <v>995</v>
      </c>
      <c r="B672" s="45">
        <v>45535</v>
      </c>
      <c r="C672" s="1" t="s">
        <v>895</v>
      </c>
      <c r="D672" s="41" t="s">
        <v>1375</v>
      </c>
      <c r="E672" s="1">
        <v>2024</v>
      </c>
      <c r="F672" s="1" t="s">
        <v>53</v>
      </c>
      <c r="G672" s="60" t="s">
        <v>30</v>
      </c>
      <c r="H672" s="2" t="s">
        <v>37</v>
      </c>
      <c r="I672" s="2" t="s">
        <v>25</v>
      </c>
      <c r="J672" s="2" t="s">
        <v>94</v>
      </c>
      <c r="K672" s="1">
        <v>19</v>
      </c>
      <c r="L672" s="37">
        <v>17.22</v>
      </c>
      <c r="M672" s="3">
        <v>0</v>
      </c>
      <c r="N672" s="37">
        <v>327.18</v>
      </c>
      <c r="O672" s="37">
        <v>0</v>
      </c>
      <c r="P672" s="53">
        <v>327.18</v>
      </c>
      <c r="Q672" s="37">
        <v>190.65</v>
      </c>
      <c r="R672" s="37">
        <v>136.53</v>
      </c>
      <c r="S672" s="3">
        <v>41.7</v>
      </c>
      <c r="T672" s="1" t="s">
        <v>27</v>
      </c>
      <c r="U672" s="15">
        <v>1</v>
      </c>
    </row>
    <row r="673" spans="1:21" x14ac:dyDescent="0.3">
      <c r="A673" s="14" t="s">
        <v>996</v>
      </c>
      <c r="B673" s="46">
        <v>45535</v>
      </c>
      <c r="C673" s="4" t="s">
        <v>895</v>
      </c>
      <c r="D673" s="42" t="s">
        <v>1375</v>
      </c>
      <c r="E673" s="4">
        <v>2024</v>
      </c>
      <c r="F673" s="4" t="s">
        <v>53</v>
      </c>
      <c r="G673" s="61" t="s">
        <v>30</v>
      </c>
      <c r="H673" s="5" t="s">
        <v>50</v>
      </c>
      <c r="I673" s="5" t="s">
        <v>55</v>
      </c>
      <c r="J673" s="5" t="s">
        <v>260</v>
      </c>
      <c r="K673" s="4">
        <v>1</v>
      </c>
      <c r="L673" s="38">
        <v>483.74</v>
      </c>
      <c r="M673" s="6">
        <v>0</v>
      </c>
      <c r="N673" s="38">
        <v>483.74</v>
      </c>
      <c r="O673" s="38">
        <v>0</v>
      </c>
      <c r="P673" s="54">
        <v>483.74</v>
      </c>
      <c r="Q673" s="38">
        <v>179.67</v>
      </c>
      <c r="R673" s="38">
        <v>304.07</v>
      </c>
      <c r="S673" s="6">
        <v>62.9</v>
      </c>
      <c r="T673" s="4" t="s">
        <v>33</v>
      </c>
      <c r="U673" s="16">
        <v>2</v>
      </c>
    </row>
    <row r="674" spans="1:21" x14ac:dyDescent="0.3">
      <c r="A674" s="13" t="s">
        <v>997</v>
      </c>
      <c r="B674" s="45">
        <v>45535</v>
      </c>
      <c r="C674" s="1" t="s">
        <v>895</v>
      </c>
      <c r="D674" s="41" t="s">
        <v>1375</v>
      </c>
      <c r="E674" s="1">
        <v>2024</v>
      </c>
      <c r="F674" s="1" t="s">
        <v>22</v>
      </c>
      <c r="G674" s="60" t="s">
        <v>58</v>
      </c>
      <c r="H674" s="2" t="s">
        <v>59</v>
      </c>
      <c r="I674" s="2" t="s">
        <v>38</v>
      </c>
      <c r="J674" s="2" t="s">
        <v>320</v>
      </c>
      <c r="K674" s="1">
        <v>12</v>
      </c>
      <c r="L674" s="37">
        <v>50.37</v>
      </c>
      <c r="M674" s="3">
        <v>20</v>
      </c>
      <c r="N674" s="37">
        <v>604.44000000000005</v>
      </c>
      <c r="O674" s="37">
        <v>120.89</v>
      </c>
      <c r="P674" s="53">
        <v>483.55</v>
      </c>
      <c r="Q674" s="37">
        <v>237.44</v>
      </c>
      <c r="R674" s="37">
        <v>246.11</v>
      </c>
      <c r="S674" s="3">
        <v>50.9</v>
      </c>
      <c r="T674" s="1" t="s">
        <v>44</v>
      </c>
      <c r="U674" s="15">
        <v>5</v>
      </c>
    </row>
    <row r="675" spans="1:21" x14ac:dyDescent="0.3">
      <c r="A675" s="14" t="s">
        <v>998</v>
      </c>
      <c r="B675" s="46">
        <v>45535</v>
      </c>
      <c r="C675" s="4" t="s">
        <v>895</v>
      </c>
      <c r="D675" s="42" t="s">
        <v>1375</v>
      </c>
      <c r="E675" s="4">
        <v>2024</v>
      </c>
      <c r="F675" s="4" t="s">
        <v>22</v>
      </c>
      <c r="G675" s="61" t="s">
        <v>36</v>
      </c>
      <c r="H675" s="5" t="s">
        <v>24</v>
      </c>
      <c r="I675" s="5" t="s">
        <v>55</v>
      </c>
      <c r="J675" s="5" t="s">
        <v>581</v>
      </c>
      <c r="K675" s="4">
        <v>19</v>
      </c>
      <c r="L675" s="38">
        <v>95.48</v>
      </c>
      <c r="M675" s="6">
        <v>5</v>
      </c>
      <c r="N675" s="38">
        <v>1814.12</v>
      </c>
      <c r="O675" s="38">
        <v>90.71</v>
      </c>
      <c r="P675" s="54">
        <v>1723.41</v>
      </c>
      <c r="Q675" s="38">
        <v>702.56</v>
      </c>
      <c r="R675" s="38">
        <v>1020.85</v>
      </c>
      <c r="S675" s="6">
        <v>59.2</v>
      </c>
      <c r="T675" s="4" t="s">
        <v>44</v>
      </c>
      <c r="U675" s="16">
        <v>1</v>
      </c>
    </row>
    <row r="676" spans="1:21" x14ac:dyDescent="0.3">
      <c r="A676" s="13" t="s">
        <v>999</v>
      </c>
      <c r="B676" s="45">
        <v>45536</v>
      </c>
      <c r="C676" s="1" t="s">
        <v>1000</v>
      </c>
      <c r="D676" s="41" t="s">
        <v>1375</v>
      </c>
      <c r="E676" s="1">
        <v>2024</v>
      </c>
      <c r="F676" s="1" t="s">
        <v>22</v>
      </c>
      <c r="G676" s="60" t="s">
        <v>58</v>
      </c>
      <c r="H676" s="2" t="s">
        <v>50</v>
      </c>
      <c r="I676" s="2" t="s">
        <v>47</v>
      </c>
      <c r="J676" s="2" t="s">
        <v>89</v>
      </c>
      <c r="K676" s="1">
        <v>19</v>
      </c>
      <c r="L676" s="37">
        <v>54.94</v>
      </c>
      <c r="M676" s="3">
        <v>0</v>
      </c>
      <c r="N676" s="37">
        <v>1043.8599999999999</v>
      </c>
      <c r="O676" s="37">
        <v>0</v>
      </c>
      <c r="P676" s="53">
        <v>1043.8599999999999</v>
      </c>
      <c r="Q676" s="37">
        <v>628.89</v>
      </c>
      <c r="R676" s="37">
        <v>414.97</v>
      </c>
      <c r="S676" s="3">
        <v>39.799999999999997</v>
      </c>
      <c r="T676" s="1" t="s">
        <v>33</v>
      </c>
      <c r="U676" s="15">
        <v>5</v>
      </c>
    </row>
    <row r="677" spans="1:21" x14ac:dyDescent="0.3">
      <c r="A677" s="14" t="s">
        <v>1001</v>
      </c>
      <c r="B677" s="46">
        <v>45536</v>
      </c>
      <c r="C677" s="4" t="s">
        <v>1000</v>
      </c>
      <c r="D677" s="42" t="s">
        <v>1375</v>
      </c>
      <c r="E677" s="4">
        <v>2024</v>
      </c>
      <c r="F677" s="4" t="s">
        <v>53</v>
      </c>
      <c r="G677" s="61" t="s">
        <v>36</v>
      </c>
      <c r="H677" s="5" t="s">
        <v>50</v>
      </c>
      <c r="I677" s="5" t="s">
        <v>75</v>
      </c>
      <c r="J677" s="5" t="s">
        <v>233</v>
      </c>
      <c r="K677" s="4">
        <v>5</v>
      </c>
      <c r="L677" s="38">
        <v>326.74</v>
      </c>
      <c r="M677" s="6">
        <v>5</v>
      </c>
      <c r="N677" s="38">
        <v>1633.7</v>
      </c>
      <c r="O677" s="38">
        <v>81.69</v>
      </c>
      <c r="P677" s="54">
        <v>1552.01</v>
      </c>
      <c r="Q677" s="38">
        <v>923.72</v>
      </c>
      <c r="R677" s="38">
        <v>628.29</v>
      </c>
      <c r="S677" s="6">
        <v>40.5</v>
      </c>
      <c r="T677" s="4" t="s">
        <v>27</v>
      </c>
      <c r="U677" s="16">
        <v>1</v>
      </c>
    </row>
    <row r="678" spans="1:21" x14ac:dyDescent="0.3">
      <c r="A678" s="13" t="s">
        <v>1002</v>
      </c>
      <c r="B678" s="45">
        <v>45536</v>
      </c>
      <c r="C678" s="1" t="s">
        <v>1000</v>
      </c>
      <c r="D678" s="41" t="s">
        <v>1375</v>
      </c>
      <c r="E678" s="1">
        <v>2024</v>
      </c>
      <c r="F678" s="1" t="s">
        <v>35</v>
      </c>
      <c r="G678" s="60" t="s">
        <v>54</v>
      </c>
      <c r="H678" s="2" t="s">
        <v>24</v>
      </c>
      <c r="I678" s="2" t="s">
        <v>38</v>
      </c>
      <c r="J678" s="2" t="s">
        <v>85</v>
      </c>
      <c r="K678" s="1">
        <v>19</v>
      </c>
      <c r="L678" s="37">
        <v>49.07</v>
      </c>
      <c r="M678" s="3">
        <v>20</v>
      </c>
      <c r="N678" s="37">
        <v>932.33</v>
      </c>
      <c r="O678" s="37">
        <v>186.47</v>
      </c>
      <c r="P678" s="53">
        <v>745.86</v>
      </c>
      <c r="Q678" s="37">
        <v>446.38</v>
      </c>
      <c r="R678" s="37">
        <v>299.48</v>
      </c>
      <c r="S678" s="3">
        <v>40.200000000000003</v>
      </c>
      <c r="T678" s="1" t="s">
        <v>33</v>
      </c>
      <c r="U678" s="15">
        <v>5</v>
      </c>
    </row>
    <row r="679" spans="1:21" x14ac:dyDescent="0.3">
      <c r="A679" s="14" t="s">
        <v>1003</v>
      </c>
      <c r="B679" s="46">
        <v>45537</v>
      </c>
      <c r="C679" s="4" t="s">
        <v>1000</v>
      </c>
      <c r="D679" s="42" t="s">
        <v>1375</v>
      </c>
      <c r="E679" s="4">
        <v>2024</v>
      </c>
      <c r="F679" s="4" t="s">
        <v>35</v>
      </c>
      <c r="G679" s="61" t="s">
        <v>122</v>
      </c>
      <c r="H679" s="5" t="s">
        <v>50</v>
      </c>
      <c r="I679" s="5" t="s">
        <v>75</v>
      </c>
      <c r="J679" s="5" t="s">
        <v>357</v>
      </c>
      <c r="K679" s="4">
        <v>7</v>
      </c>
      <c r="L679" s="38">
        <v>276.79000000000002</v>
      </c>
      <c r="M679" s="6">
        <v>20</v>
      </c>
      <c r="N679" s="38">
        <v>1937.53</v>
      </c>
      <c r="O679" s="38">
        <v>387.51</v>
      </c>
      <c r="P679" s="54">
        <v>1550.02</v>
      </c>
      <c r="Q679" s="38">
        <v>599.22</v>
      </c>
      <c r="R679" s="38">
        <v>950.8</v>
      </c>
      <c r="S679" s="6">
        <v>61.3</v>
      </c>
      <c r="T679" s="4" t="s">
        <v>44</v>
      </c>
      <c r="U679" s="16">
        <v>5</v>
      </c>
    </row>
    <row r="680" spans="1:21" x14ac:dyDescent="0.3">
      <c r="A680" s="13" t="s">
        <v>1004</v>
      </c>
      <c r="B680" s="45">
        <v>45538</v>
      </c>
      <c r="C680" s="1" t="s">
        <v>1000</v>
      </c>
      <c r="D680" s="41" t="s">
        <v>1375</v>
      </c>
      <c r="E680" s="1">
        <v>2024</v>
      </c>
      <c r="F680" s="1" t="s">
        <v>53</v>
      </c>
      <c r="G680" s="60" t="s">
        <v>66</v>
      </c>
      <c r="H680" s="2" t="s">
        <v>50</v>
      </c>
      <c r="I680" s="2" t="s">
        <v>75</v>
      </c>
      <c r="J680" s="2" t="s">
        <v>383</v>
      </c>
      <c r="K680" s="1">
        <v>16</v>
      </c>
      <c r="L680" s="37">
        <v>106.38</v>
      </c>
      <c r="M680" s="3">
        <v>0</v>
      </c>
      <c r="N680" s="37">
        <v>1702.08</v>
      </c>
      <c r="O680" s="37">
        <v>0</v>
      </c>
      <c r="P680" s="53">
        <v>1702.08</v>
      </c>
      <c r="Q680" s="37">
        <v>987.96</v>
      </c>
      <c r="R680" s="37">
        <v>714.12</v>
      </c>
      <c r="S680" s="3">
        <v>42</v>
      </c>
      <c r="T680" s="1" t="s">
        <v>44</v>
      </c>
      <c r="U680" s="15">
        <v>2</v>
      </c>
    </row>
    <row r="681" spans="1:21" x14ac:dyDescent="0.3">
      <c r="A681" s="14" t="s">
        <v>1005</v>
      </c>
      <c r="B681" s="46">
        <v>45539</v>
      </c>
      <c r="C681" s="4" t="s">
        <v>1000</v>
      </c>
      <c r="D681" s="42" t="s">
        <v>1375</v>
      </c>
      <c r="E681" s="4">
        <v>2024</v>
      </c>
      <c r="F681" s="4" t="s">
        <v>22</v>
      </c>
      <c r="G681" s="61" t="s">
        <v>30</v>
      </c>
      <c r="H681" s="5" t="s">
        <v>50</v>
      </c>
      <c r="I681" s="5" t="s">
        <v>25</v>
      </c>
      <c r="J681" s="5" t="s">
        <v>503</v>
      </c>
      <c r="K681" s="4">
        <v>18</v>
      </c>
      <c r="L681" s="38">
        <v>39.24</v>
      </c>
      <c r="M681" s="6">
        <v>15</v>
      </c>
      <c r="N681" s="38">
        <v>706.32</v>
      </c>
      <c r="O681" s="38">
        <v>105.95</v>
      </c>
      <c r="P681" s="54">
        <v>600.37</v>
      </c>
      <c r="Q681" s="38">
        <v>254.97</v>
      </c>
      <c r="R681" s="38">
        <v>345.4</v>
      </c>
      <c r="S681" s="6">
        <v>57.5</v>
      </c>
      <c r="T681" s="4" t="s">
        <v>44</v>
      </c>
      <c r="U681" s="16">
        <v>2</v>
      </c>
    </row>
    <row r="682" spans="1:21" x14ac:dyDescent="0.3">
      <c r="A682" s="13" t="s">
        <v>1006</v>
      </c>
      <c r="B682" s="45">
        <v>45539</v>
      </c>
      <c r="C682" s="1" t="s">
        <v>1000</v>
      </c>
      <c r="D682" s="41" t="s">
        <v>1375</v>
      </c>
      <c r="E682" s="1">
        <v>2024</v>
      </c>
      <c r="F682" s="1" t="s">
        <v>53</v>
      </c>
      <c r="G682" s="60" t="s">
        <v>54</v>
      </c>
      <c r="H682" s="2" t="s">
        <v>50</v>
      </c>
      <c r="I682" s="2" t="s">
        <v>75</v>
      </c>
      <c r="J682" s="2" t="s">
        <v>1007</v>
      </c>
      <c r="K682" s="1">
        <v>10</v>
      </c>
      <c r="L682" s="37">
        <v>365.14</v>
      </c>
      <c r="M682" s="3">
        <v>0</v>
      </c>
      <c r="N682" s="37">
        <v>3651.4</v>
      </c>
      <c r="O682" s="37">
        <v>0</v>
      </c>
      <c r="P682" s="53">
        <v>3651.4</v>
      </c>
      <c r="Q682" s="37">
        <v>2122.81</v>
      </c>
      <c r="R682" s="37">
        <v>1528.59</v>
      </c>
      <c r="S682" s="3">
        <v>41.9</v>
      </c>
      <c r="T682" s="1" t="s">
        <v>44</v>
      </c>
      <c r="U682" s="15">
        <v>3</v>
      </c>
    </row>
    <row r="683" spans="1:21" x14ac:dyDescent="0.3">
      <c r="A683" s="14" t="s">
        <v>1008</v>
      </c>
      <c r="B683" s="46">
        <v>45540</v>
      </c>
      <c r="C683" s="4" t="s">
        <v>1000</v>
      </c>
      <c r="D683" s="42" t="s">
        <v>1375</v>
      </c>
      <c r="E683" s="4">
        <v>2024</v>
      </c>
      <c r="F683" s="4" t="s">
        <v>35</v>
      </c>
      <c r="G683" s="61" t="s">
        <v>91</v>
      </c>
      <c r="H683" s="5" t="s">
        <v>50</v>
      </c>
      <c r="I683" s="5" t="s">
        <v>75</v>
      </c>
      <c r="J683" s="5" t="s">
        <v>262</v>
      </c>
      <c r="K683" s="4">
        <v>6</v>
      </c>
      <c r="L683" s="38">
        <v>138.69999999999999</v>
      </c>
      <c r="M683" s="6">
        <v>0</v>
      </c>
      <c r="N683" s="38">
        <v>832.2</v>
      </c>
      <c r="O683" s="38">
        <v>0</v>
      </c>
      <c r="P683" s="54">
        <v>832.2</v>
      </c>
      <c r="Q683" s="38">
        <v>401.86</v>
      </c>
      <c r="R683" s="38">
        <v>430.34</v>
      </c>
      <c r="S683" s="6">
        <v>51.7</v>
      </c>
      <c r="T683" s="4" t="s">
        <v>44</v>
      </c>
      <c r="U683" s="16">
        <v>1</v>
      </c>
    </row>
    <row r="684" spans="1:21" x14ac:dyDescent="0.3">
      <c r="A684" s="13" t="s">
        <v>1009</v>
      </c>
      <c r="B684" s="45">
        <v>45540</v>
      </c>
      <c r="C684" s="1" t="s">
        <v>1000</v>
      </c>
      <c r="D684" s="41" t="s">
        <v>1375</v>
      </c>
      <c r="E684" s="1">
        <v>2024</v>
      </c>
      <c r="F684" s="1" t="s">
        <v>35</v>
      </c>
      <c r="G684" s="60" t="s">
        <v>58</v>
      </c>
      <c r="H684" s="2" t="s">
        <v>37</v>
      </c>
      <c r="I684" s="2" t="s">
        <v>47</v>
      </c>
      <c r="J684" s="2" t="s">
        <v>822</v>
      </c>
      <c r="K684" s="1">
        <v>16</v>
      </c>
      <c r="L684" s="37">
        <v>456.32</v>
      </c>
      <c r="M684" s="3">
        <v>20</v>
      </c>
      <c r="N684" s="37">
        <v>7301.12</v>
      </c>
      <c r="O684" s="37">
        <v>1460.22</v>
      </c>
      <c r="P684" s="53">
        <v>5840.9</v>
      </c>
      <c r="Q684" s="37">
        <v>3336.82</v>
      </c>
      <c r="R684" s="37">
        <v>2504.08</v>
      </c>
      <c r="S684" s="3">
        <v>42.9</v>
      </c>
      <c r="T684" s="1" t="s">
        <v>44</v>
      </c>
      <c r="U684" s="15">
        <v>2</v>
      </c>
    </row>
    <row r="685" spans="1:21" x14ac:dyDescent="0.3">
      <c r="A685" s="14" t="s">
        <v>1010</v>
      </c>
      <c r="B685" s="46">
        <v>45540</v>
      </c>
      <c r="C685" s="4" t="s">
        <v>1000</v>
      </c>
      <c r="D685" s="42" t="s">
        <v>1375</v>
      </c>
      <c r="E685" s="4">
        <v>2024</v>
      </c>
      <c r="F685" s="4" t="s">
        <v>41</v>
      </c>
      <c r="G685" s="61" t="s">
        <v>122</v>
      </c>
      <c r="H685" s="5" t="s">
        <v>37</v>
      </c>
      <c r="I685" s="5" t="s">
        <v>31</v>
      </c>
      <c r="J685" s="5" t="s">
        <v>258</v>
      </c>
      <c r="K685" s="4">
        <v>2</v>
      </c>
      <c r="L685" s="38">
        <v>54.18</v>
      </c>
      <c r="M685" s="6">
        <v>5</v>
      </c>
      <c r="N685" s="38">
        <v>108.36</v>
      </c>
      <c r="O685" s="38">
        <v>5.42</v>
      </c>
      <c r="P685" s="54">
        <v>102.94</v>
      </c>
      <c r="Q685" s="38">
        <v>37.06</v>
      </c>
      <c r="R685" s="38">
        <v>65.88</v>
      </c>
      <c r="S685" s="6">
        <v>64</v>
      </c>
      <c r="T685" s="4" t="s">
        <v>44</v>
      </c>
      <c r="U685" s="16">
        <v>1</v>
      </c>
    </row>
    <row r="686" spans="1:21" x14ac:dyDescent="0.3">
      <c r="A686" s="13" t="s">
        <v>1011</v>
      </c>
      <c r="B686" s="45">
        <v>45540</v>
      </c>
      <c r="C686" s="1" t="s">
        <v>1000</v>
      </c>
      <c r="D686" s="41" t="s">
        <v>1375</v>
      </c>
      <c r="E686" s="1">
        <v>2024</v>
      </c>
      <c r="F686" s="1" t="s">
        <v>35</v>
      </c>
      <c r="G686" s="60" t="s">
        <v>122</v>
      </c>
      <c r="H686" s="2" t="s">
        <v>37</v>
      </c>
      <c r="I686" s="2" t="s">
        <v>25</v>
      </c>
      <c r="J686" s="2" t="s">
        <v>559</v>
      </c>
      <c r="K686" s="1">
        <v>3</v>
      </c>
      <c r="L686" s="37">
        <v>36.6</v>
      </c>
      <c r="M686" s="3">
        <v>0</v>
      </c>
      <c r="N686" s="37">
        <v>109.8</v>
      </c>
      <c r="O686" s="37">
        <v>0</v>
      </c>
      <c r="P686" s="53">
        <v>109.8</v>
      </c>
      <c r="Q686" s="37">
        <v>53.61</v>
      </c>
      <c r="R686" s="37">
        <v>56.19</v>
      </c>
      <c r="S686" s="3">
        <v>51.2</v>
      </c>
      <c r="T686" s="1" t="s">
        <v>27</v>
      </c>
      <c r="U686" s="15">
        <v>3</v>
      </c>
    </row>
    <row r="687" spans="1:21" x14ac:dyDescent="0.3">
      <c r="A687" s="14" t="s">
        <v>1012</v>
      </c>
      <c r="B687" s="46">
        <v>45540</v>
      </c>
      <c r="C687" s="4" t="s">
        <v>1000</v>
      </c>
      <c r="D687" s="42" t="s">
        <v>1375</v>
      </c>
      <c r="E687" s="4">
        <v>2024</v>
      </c>
      <c r="F687" s="4" t="s">
        <v>41</v>
      </c>
      <c r="G687" s="61" t="s">
        <v>54</v>
      </c>
      <c r="H687" s="5" t="s">
        <v>50</v>
      </c>
      <c r="I687" s="5" t="s">
        <v>55</v>
      </c>
      <c r="J687" s="5" t="s">
        <v>60</v>
      </c>
      <c r="K687" s="4">
        <v>2</v>
      </c>
      <c r="L687" s="38">
        <v>902.7</v>
      </c>
      <c r="M687" s="6">
        <v>15</v>
      </c>
      <c r="N687" s="38">
        <v>1805.4</v>
      </c>
      <c r="O687" s="38">
        <v>270.81</v>
      </c>
      <c r="P687" s="54">
        <v>1534.59</v>
      </c>
      <c r="Q687" s="38">
        <v>892.06</v>
      </c>
      <c r="R687" s="38">
        <v>642.53</v>
      </c>
      <c r="S687" s="6">
        <v>41.9</v>
      </c>
      <c r="T687" s="4" t="s">
        <v>44</v>
      </c>
      <c r="U687" s="16">
        <v>2</v>
      </c>
    </row>
    <row r="688" spans="1:21" x14ac:dyDescent="0.3">
      <c r="A688" s="13" t="s">
        <v>1013</v>
      </c>
      <c r="B688" s="45">
        <v>45541</v>
      </c>
      <c r="C688" s="1" t="s">
        <v>1000</v>
      </c>
      <c r="D688" s="41" t="s">
        <v>1375</v>
      </c>
      <c r="E688" s="1">
        <v>2024</v>
      </c>
      <c r="F688" s="1" t="s">
        <v>53</v>
      </c>
      <c r="G688" s="60" t="s">
        <v>42</v>
      </c>
      <c r="H688" s="2" t="s">
        <v>50</v>
      </c>
      <c r="I688" s="2" t="s">
        <v>47</v>
      </c>
      <c r="J688" s="2" t="s">
        <v>882</v>
      </c>
      <c r="K688" s="1">
        <v>8</v>
      </c>
      <c r="L688" s="37">
        <v>378.5</v>
      </c>
      <c r="M688" s="3">
        <v>20</v>
      </c>
      <c r="N688" s="37">
        <v>3028</v>
      </c>
      <c r="O688" s="37">
        <v>605.6</v>
      </c>
      <c r="P688" s="53">
        <v>2422.4</v>
      </c>
      <c r="Q688" s="37">
        <v>1226.56</v>
      </c>
      <c r="R688" s="37">
        <v>1195.8399999999999</v>
      </c>
      <c r="S688" s="3">
        <v>49.4</v>
      </c>
      <c r="T688" s="1" t="s">
        <v>44</v>
      </c>
      <c r="U688" s="15">
        <v>2</v>
      </c>
    </row>
    <row r="689" spans="1:21" x14ac:dyDescent="0.3">
      <c r="A689" s="14" t="s">
        <v>1014</v>
      </c>
      <c r="B689" s="46">
        <v>45541</v>
      </c>
      <c r="C689" s="4" t="s">
        <v>1000</v>
      </c>
      <c r="D689" s="42" t="s">
        <v>1375</v>
      </c>
      <c r="E689" s="4">
        <v>2024</v>
      </c>
      <c r="F689" s="4" t="s">
        <v>35</v>
      </c>
      <c r="G689" s="61" t="s">
        <v>58</v>
      </c>
      <c r="H689" s="5" t="s">
        <v>37</v>
      </c>
      <c r="I689" s="5" t="s">
        <v>75</v>
      </c>
      <c r="J689" s="5" t="s">
        <v>407</v>
      </c>
      <c r="K689" s="4">
        <v>20</v>
      </c>
      <c r="L689" s="38">
        <v>307.87</v>
      </c>
      <c r="M689" s="6">
        <v>15</v>
      </c>
      <c r="N689" s="38">
        <v>6157.4</v>
      </c>
      <c r="O689" s="38">
        <v>923.61</v>
      </c>
      <c r="P689" s="54">
        <v>5233.79</v>
      </c>
      <c r="Q689" s="38">
        <v>3373.88</v>
      </c>
      <c r="R689" s="38">
        <v>1859.91</v>
      </c>
      <c r="S689" s="6">
        <v>35.5</v>
      </c>
      <c r="T689" s="4" t="s">
        <v>44</v>
      </c>
      <c r="U689" s="16">
        <v>1</v>
      </c>
    </row>
    <row r="690" spans="1:21" x14ac:dyDescent="0.3">
      <c r="A690" s="13" t="s">
        <v>1015</v>
      </c>
      <c r="B690" s="45">
        <v>45541</v>
      </c>
      <c r="C690" s="1" t="s">
        <v>1000</v>
      </c>
      <c r="D690" s="41" t="s">
        <v>1375</v>
      </c>
      <c r="E690" s="1">
        <v>2024</v>
      </c>
      <c r="F690" s="1" t="s">
        <v>41</v>
      </c>
      <c r="G690" s="60" t="s">
        <v>36</v>
      </c>
      <c r="H690" s="2" t="s">
        <v>59</v>
      </c>
      <c r="I690" s="2" t="s">
        <v>55</v>
      </c>
      <c r="J690" s="2" t="s">
        <v>641</v>
      </c>
      <c r="K690" s="1">
        <v>8</v>
      </c>
      <c r="L690" s="37">
        <v>1101.6099999999999</v>
      </c>
      <c r="M690" s="3">
        <v>10</v>
      </c>
      <c r="N690" s="37">
        <v>8812.8799999999992</v>
      </c>
      <c r="O690" s="37">
        <v>881.29</v>
      </c>
      <c r="P690" s="53">
        <v>7931.59</v>
      </c>
      <c r="Q690" s="37">
        <v>3901.13</v>
      </c>
      <c r="R690" s="37">
        <v>4030.46</v>
      </c>
      <c r="S690" s="3">
        <v>50.8</v>
      </c>
      <c r="T690" s="1" t="s">
        <v>44</v>
      </c>
      <c r="U690" s="15">
        <v>2</v>
      </c>
    </row>
    <row r="691" spans="1:21" x14ac:dyDescent="0.3">
      <c r="A691" s="14" t="s">
        <v>1016</v>
      </c>
      <c r="B691" s="46">
        <v>45542</v>
      </c>
      <c r="C691" s="4" t="s">
        <v>1000</v>
      </c>
      <c r="D691" s="42" t="s">
        <v>1375</v>
      </c>
      <c r="E691" s="4">
        <v>2024</v>
      </c>
      <c r="F691" s="4" t="s">
        <v>35</v>
      </c>
      <c r="G691" s="61" t="s">
        <v>42</v>
      </c>
      <c r="H691" s="5" t="s">
        <v>37</v>
      </c>
      <c r="I691" s="5" t="s">
        <v>47</v>
      </c>
      <c r="J691" s="5" t="s">
        <v>48</v>
      </c>
      <c r="K691" s="4">
        <v>1</v>
      </c>
      <c r="L691" s="38">
        <v>353.9</v>
      </c>
      <c r="M691" s="6">
        <v>0</v>
      </c>
      <c r="N691" s="38">
        <v>353.9</v>
      </c>
      <c r="O691" s="38">
        <v>0</v>
      </c>
      <c r="P691" s="54">
        <v>353.9</v>
      </c>
      <c r="Q691" s="38">
        <v>196.21</v>
      </c>
      <c r="R691" s="38">
        <v>157.69</v>
      </c>
      <c r="S691" s="6">
        <v>44.6</v>
      </c>
      <c r="T691" s="4" t="s">
        <v>33</v>
      </c>
      <c r="U691" s="16">
        <v>3</v>
      </c>
    </row>
    <row r="692" spans="1:21" x14ac:dyDescent="0.3">
      <c r="A692" s="13" t="s">
        <v>1017</v>
      </c>
      <c r="B692" s="45">
        <v>45542</v>
      </c>
      <c r="C692" s="1" t="s">
        <v>1000</v>
      </c>
      <c r="D692" s="41" t="s">
        <v>1375</v>
      </c>
      <c r="E692" s="1">
        <v>2024</v>
      </c>
      <c r="F692" s="1" t="s">
        <v>41</v>
      </c>
      <c r="G692" s="60" t="s">
        <v>58</v>
      </c>
      <c r="H692" s="2" t="s">
        <v>50</v>
      </c>
      <c r="I692" s="2" t="s">
        <v>38</v>
      </c>
      <c r="J692" s="2" t="s">
        <v>320</v>
      </c>
      <c r="K692" s="1">
        <v>17</v>
      </c>
      <c r="L692" s="37">
        <v>57.78</v>
      </c>
      <c r="M692" s="3">
        <v>20</v>
      </c>
      <c r="N692" s="37">
        <v>982.26</v>
      </c>
      <c r="O692" s="37">
        <v>196.45</v>
      </c>
      <c r="P692" s="53">
        <v>785.81</v>
      </c>
      <c r="Q692" s="37">
        <v>348.61</v>
      </c>
      <c r="R692" s="37">
        <v>437.2</v>
      </c>
      <c r="S692" s="3">
        <v>55.6</v>
      </c>
      <c r="T692" s="1" t="s">
        <v>27</v>
      </c>
      <c r="U692" s="15">
        <v>3</v>
      </c>
    </row>
    <row r="693" spans="1:21" x14ac:dyDescent="0.3">
      <c r="A693" s="14" t="s">
        <v>1018</v>
      </c>
      <c r="B693" s="46">
        <v>45542</v>
      </c>
      <c r="C693" s="4" t="s">
        <v>1000</v>
      </c>
      <c r="D693" s="42" t="s">
        <v>1375</v>
      </c>
      <c r="E693" s="4">
        <v>2024</v>
      </c>
      <c r="F693" s="4" t="s">
        <v>35</v>
      </c>
      <c r="G693" s="61" t="s">
        <v>30</v>
      </c>
      <c r="H693" s="5" t="s">
        <v>50</v>
      </c>
      <c r="I693" s="5" t="s">
        <v>38</v>
      </c>
      <c r="J693" s="5" t="s">
        <v>836</v>
      </c>
      <c r="K693" s="4">
        <v>16</v>
      </c>
      <c r="L693" s="38">
        <v>34.75</v>
      </c>
      <c r="M693" s="6">
        <v>5</v>
      </c>
      <c r="N693" s="38">
        <v>556</v>
      </c>
      <c r="O693" s="38">
        <v>27.8</v>
      </c>
      <c r="P693" s="54">
        <v>528.20000000000005</v>
      </c>
      <c r="Q693" s="38">
        <v>236.06</v>
      </c>
      <c r="R693" s="38">
        <v>292.14</v>
      </c>
      <c r="S693" s="6">
        <v>55.3</v>
      </c>
      <c r="T693" s="4" t="s">
        <v>44</v>
      </c>
      <c r="U693" s="16">
        <v>4</v>
      </c>
    </row>
    <row r="694" spans="1:21" x14ac:dyDescent="0.3">
      <c r="A694" s="13" t="s">
        <v>1019</v>
      </c>
      <c r="B694" s="45">
        <v>45542</v>
      </c>
      <c r="C694" s="1" t="s">
        <v>1000</v>
      </c>
      <c r="D694" s="41" t="s">
        <v>1375</v>
      </c>
      <c r="E694" s="1">
        <v>2024</v>
      </c>
      <c r="F694" s="1" t="s">
        <v>35</v>
      </c>
      <c r="G694" s="60" t="s">
        <v>30</v>
      </c>
      <c r="H694" s="2" t="s">
        <v>59</v>
      </c>
      <c r="I694" s="2" t="s">
        <v>25</v>
      </c>
      <c r="J694" s="2" t="s">
        <v>749</v>
      </c>
      <c r="K694" s="1">
        <v>1</v>
      </c>
      <c r="L694" s="37">
        <v>43.51</v>
      </c>
      <c r="M694" s="3">
        <v>5</v>
      </c>
      <c r="N694" s="37">
        <v>43.51</v>
      </c>
      <c r="O694" s="37">
        <v>2.1800000000000002</v>
      </c>
      <c r="P694" s="53">
        <v>41.33</v>
      </c>
      <c r="Q694" s="37">
        <v>22.27</v>
      </c>
      <c r="R694" s="37">
        <v>19.059999999999999</v>
      </c>
      <c r="S694" s="3">
        <v>46.1</v>
      </c>
      <c r="T694" s="1" t="s">
        <v>33</v>
      </c>
      <c r="U694" s="15">
        <v>2</v>
      </c>
    </row>
    <row r="695" spans="1:21" x14ac:dyDescent="0.3">
      <c r="A695" s="14" t="s">
        <v>1020</v>
      </c>
      <c r="B695" s="46">
        <v>45543</v>
      </c>
      <c r="C695" s="4" t="s">
        <v>1000</v>
      </c>
      <c r="D695" s="42" t="s">
        <v>1375</v>
      </c>
      <c r="E695" s="4">
        <v>2024</v>
      </c>
      <c r="F695" s="4" t="s">
        <v>29</v>
      </c>
      <c r="G695" s="61" t="s">
        <v>58</v>
      </c>
      <c r="H695" s="5" t="s">
        <v>37</v>
      </c>
      <c r="I695" s="5" t="s">
        <v>75</v>
      </c>
      <c r="J695" s="5" t="s">
        <v>187</v>
      </c>
      <c r="K695" s="4">
        <v>11</v>
      </c>
      <c r="L695" s="38">
        <v>145.61000000000001</v>
      </c>
      <c r="M695" s="6">
        <v>15</v>
      </c>
      <c r="N695" s="38">
        <v>1601.71</v>
      </c>
      <c r="O695" s="38">
        <v>240.26</v>
      </c>
      <c r="P695" s="54">
        <v>1361.45</v>
      </c>
      <c r="Q695" s="38">
        <v>493.74</v>
      </c>
      <c r="R695" s="38">
        <v>867.71</v>
      </c>
      <c r="S695" s="6">
        <v>63.7</v>
      </c>
      <c r="T695" s="4" t="s">
        <v>33</v>
      </c>
      <c r="U695" s="16">
        <v>1</v>
      </c>
    </row>
    <row r="696" spans="1:21" x14ac:dyDescent="0.3">
      <c r="A696" s="13" t="s">
        <v>1021</v>
      </c>
      <c r="B696" s="45">
        <v>45543</v>
      </c>
      <c r="C696" s="1" t="s">
        <v>1000</v>
      </c>
      <c r="D696" s="41" t="s">
        <v>1375</v>
      </c>
      <c r="E696" s="1">
        <v>2024</v>
      </c>
      <c r="F696" s="1" t="s">
        <v>53</v>
      </c>
      <c r="G696" s="60" t="s">
        <v>66</v>
      </c>
      <c r="H696" s="2" t="s">
        <v>24</v>
      </c>
      <c r="I696" s="2" t="s">
        <v>25</v>
      </c>
      <c r="J696" s="2" t="s">
        <v>714</v>
      </c>
      <c r="K696" s="1">
        <v>20</v>
      </c>
      <c r="L696" s="37">
        <v>49.63</v>
      </c>
      <c r="M696" s="3">
        <v>10</v>
      </c>
      <c r="N696" s="37">
        <v>992.6</v>
      </c>
      <c r="O696" s="37">
        <v>99.26</v>
      </c>
      <c r="P696" s="53">
        <v>893.34</v>
      </c>
      <c r="Q696" s="37">
        <v>563.9</v>
      </c>
      <c r="R696" s="37">
        <v>329.44</v>
      </c>
      <c r="S696" s="3">
        <v>36.9</v>
      </c>
      <c r="T696" s="1" t="s">
        <v>44</v>
      </c>
      <c r="U696" s="15">
        <v>3</v>
      </c>
    </row>
    <row r="697" spans="1:21" x14ac:dyDescent="0.3">
      <c r="A697" s="14" t="s">
        <v>1022</v>
      </c>
      <c r="B697" s="46">
        <v>45543</v>
      </c>
      <c r="C697" s="4" t="s">
        <v>1000</v>
      </c>
      <c r="D697" s="42" t="s">
        <v>1375</v>
      </c>
      <c r="E697" s="4">
        <v>2024</v>
      </c>
      <c r="F697" s="4" t="s">
        <v>53</v>
      </c>
      <c r="G697" s="61" t="s">
        <v>42</v>
      </c>
      <c r="H697" s="5" t="s">
        <v>59</v>
      </c>
      <c r="I697" s="5" t="s">
        <v>38</v>
      </c>
      <c r="J697" s="5" t="s">
        <v>175</v>
      </c>
      <c r="K697" s="4">
        <v>7</v>
      </c>
      <c r="L697" s="38">
        <v>39.97</v>
      </c>
      <c r="M697" s="6">
        <v>10</v>
      </c>
      <c r="N697" s="38">
        <v>279.79000000000002</v>
      </c>
      <c r="O697" s="38">
        <v>27.98</v>
      </c>
      <c r="P697" s="54">
        <v>251.81</v>
      </c>
      <c r="Q697" s="38">
        <v>127.49</v>
      </c>
      <c r="R697" s="38">
        <v>124.32</v>
      </c>
      <c r="S697" s="6">
        <v>49.4</v>
      </c>
      <c r="T697" s="4" t="s">
        <v>44</v>
      </c>
      <c r="U697" s="16">
        <v>5</v>
      </c>
    </row>
    <row r="698" spans="1:21" x14ac:dyDescent="0.3">
      <c r="A698" s="13" t="s">
        <v>1023</v>
      </c>
      <c r="B698" s="45">
        <v>45544</v>
      </c>
      <c r="C698" s="1" t="s">
        <v>1000</v>
      </c>
      <c r="D698" s="41" t="s">
        <v>1375</v>
      </c>
      <c r="E698" s="1">
        <v>2024</v>
      </c>
      <c r="F698" s="1" t="s">
        <v>35</v>
      </c>
      <c r="G698" s="60" t="s">
        <v>36</v>
      </c>
      <c r="H698" s="2" t="s">
        <v>50</v>
      </c>
      <c r="I698" s="2" t="s">
        <v>47</v>
      </c>
      <c r="J698" s="2" t="s">
        <v>1024</v>
      </c>
      <c r="K698" s="1">
        <v>5</v>
      </c>
      <c r="L698" s="37">
        <v>331.39</v>
      </c>
      <c r="M698" s="3">
        <v>0</v>
      </c>
      <c r="N698" s="37">
        <v>1656.95</v>
      </c>
      <c r="O698" s="37">
        <v>0</v>
      </c>
      <c r="P698" s="53">
        <v>1656.95</v>
      </c>
      <c r="Q698" s="37">
        <v>705.85</v>
      </c>
      <c r="R698" s="37">
        <v>951.1</v>
      </c>
      <c r="S698" s="3">
        <v>57.4</v>
      </c>
      <c r="T698" s="1" t="s">
        <v>33</v>
      </c>
      <c r="U698" s="15">
        <v>3</v>
      </c>
    </row>
    <row r="699" spans="1:21" x14ac:dyDescent="0.3">
      <c r="A699" s="14" t="s">
        <v>1025</v>
      </c>
      <c r="B699" s="46">
        <v>45545</v>
      </c>
      <c r="C699" s="4" t="s">
        <v>1000</v>
      </c>
      <c r="D699" s="42" t="s">
        <v>1375</v>
      </c>
      <c r="E699" s="4">
        <v>2024</v>
      </c>
      <c r="F699" s="4" t="s">
        <v>41</v>
      </c>
      <c r="G699" s="61" t="s">
        <v>36</v>
      </c>
      <c r="H699" s="5" t="s">
        <v>59</v>
      </c>
      <c r="I699" s="5" t="s">
        <v>55</v>
      </c>
      <c r="J699" s="5" t="s">
        <v>637</v>
      </c>
      <c r="K699" s="4">
        <v>11</v>
      </c>
      <c r="L699" s="38">
        <v>404.69</v>
      </c>
      <c r="M699" s="6">
        <v>5</v>
      </c>
      <c r="N699" s="38">
        <v>4451.59</v>
      </c>
      <c r="O699" s="38">
        <v>222.58</v>
      </c>
      <c r="P699" s="54">
        <v>4229.01</v>
      </c>
      <c r="Q699" s="38">
        <v>2290.25</v>
      </c>
      <c r="R699" s="38">
        <v>1938.76</v>
      </c>
      <c r="S699" s="6">
        <v>45.8</v>
      </c>
      <c r="T699" s="4" t="s">
        <v>44</v>
      </c>
      <c r="U699" s="16">
        <v>4</v>
      </c>
    </row>
    <row r="700" spans="1:21" x14ac:dyDescent="0.3">
      <c r="A700" s="13" t="s">
        <v>1026</v>
      </c>
      <c r="B700" s="45">
        <v>45545</v>
      </c>
      <c r="C700" s="1" t="s">
        <v>1000</v>
      </c>
      <c r="D700" s="41" t="s">
        <v>1375</v>
      </c>
      <c r="E700" s="1">
        <v>2024</v>
      </c>
      <c r="F700" s="1" t="s">
        <v>22</v>
      </c>
      <c r="G700" s="60" t="s">
        <v>91</v>
      </c>
      <c r="H700" s="2" t="s">
        <v>59</v>
      </c>
      <c r="I700" s="2" t="s">
        <v>31</v>
      </c>
      <c r="J700" s="2" t="s">
        <v>282</v>
      </c>
      <c r="K700" s="1">
        <v>6</v>
      </c>
      <c r="L700" s="37">
        <v>81.53</v>
      </c>
      <c r="M700" s="3">
        <v>0</v>
      </c>
      <c r="N700" s="37">
        <v>489.18</v>
      </c>
      <c r="O700" s="37">
        <v>0</v>
      </c>
      <c r="P700" s="53">
        <v>489.18</v>
      </c>
      <c r="Q700" s="37">
        <v>200.38</v>
      </c>
      <c r="R700" s="37">
        <v>288.8</v>
      </c>
      <c r="S700" s="3">
        <v>59</v>
      </c>
      <c r="T700" s="1" t="s">
        <v>33</v>
      </c>
      <c r="U700" s="15">
        <v>4</v>
      </c>
    </row>
    <row r="701" spans="1:21" x14ac:dyDescent="0.3">
      <c r="A701" s="14" t="s">
        <v>1027</v>
      </c>
      <c r="B701" s="46">
        <v>45547</v>
      </c>
      <c r="C701" s="4" t="s">
        <v>1000</v>
      </c>
      <c r="D701" s="42" t="s">
        <v>1375</v>
      </c>
      <c r="E701" s="4">
        <v>2024</v>
      </c>
      <c r="F701" s="4" t="s">
        <v>41</v>
      </c>
      <c r="G701" s="61" t="s">
        <v>54</v>
      </c>
      <c r="H701" s="5" t="s">
        <v>24</v>
      </c>
      <c r="I701" s="5" t="s">
        <v>75</v>
      </c>
      <c r="J701" s="5" t="s">
        <v>357</v>
      </c>
      <c r="K701" s="4">
        <v>11</v>
      </c>
      <c r="L701" s="38">
        <v>356.05</v>
      </c>
      <c r="M701" s="6">
        <v>10</v>
      </c>
      <c r="N701" s="38">
        <v>3916.55</v>
      </c>
      <c r="O701" s="38">
        <v>391.66</v>
      </c>
      <c r="P701" s="54">
        <v>3524.89</v>
      </c>
      <c r="Q701" s="38">
        <v>2172.23</v>
      </c>
      <c r="R701" s="38">
        <v>1352.66</v>
      </c>
      <c r="S701" s="6">
        <v>38.4</v>
      </c>
      <c r="T701" s="4" t="s">
        <v>44</v>
      </c>
      <c r="U701" s="16">
        <v>4</v>
      </c>
    </row>
    <row r="702" spans="1:21" x14ac:dyDescent="0.3">
      <c r="A702" s="13" t="s">
        <v>1028</v>
      </c>
      <c r="B702" s="45">
        <v>45548</v>
      </c>
      <c r="C702" s="1" t="s">
        <v>1000</v>
      </c>
      <c r="D702" s="41" t="s">
        <v>1375</v>
      </c>
      <c r="E702" s="1">
        <v>2024</v>
      </c>
      <c r="F702" s="1" t="s">
        <v>35</v>
      </c>
      <c r="G702" s="60" t="s">
        <v>42</v>
      </c>
      <c r="H702" s="2" t="s">
        <v>24</v>
      </c>
      <c r="I702" s="2" t="s">
        <v>25</v>
      </c>
      <c r="J702" s="2" t="s">
        <v>1029</v>
      </c>
      <c r="K702" s="1">
        <v>2</v>
      </c>
      <c r="L702" s="37">
        <v>75.239999999999995</v>
      </c>
      <c r="M702" s="3">
        <v>15</v>
      </c>
      <c r="N702" s="37">
        <v>150.47999999999999</v>
      </c>
      <c r="O702" s="37">
        <v>22.57</v>
      </c>
      <c r="P702" s="53">
        <v>127.91</v>
      </c>
      <c r="Q702" s="37">
        <v>77.91</v>
      </c>
      <c r="R702" s="37">
        <v>50</v>
      </c>
      <c r="S702" s="3">
        <v>39.1</v>
      </c>
      <c r="T702" s="1" t="s">
        <v>27</v>
      </c>
      <c r="U702" s="15">
        <v>5</v>
      </c>
    </row>
    <row r="703" spans="1:21" x14ac:dyDescent="0.3">
      <c r="A703" s="14" t="s">
        <v>1030</v>
      </c>
      <c r="B703" s="46">
        <v>45549</v>
      </c>
      <c r="C703" s="4" t="s">
        <v>1000</v>
      </c>
      <c r="D703" s="42" t="s">
        <v>1375</v>
      </c>
      <c r="E703" s="4">
        <v>2024</v>
      </c>
      <c r="F703" s="4" t="s">
        <v>53</v>
      </c>
      <c r="G703" s="61" t="s">
        <v>66</v>
      </c>
      <c r="H703" s="5" t="s">
        <v>59</v>
      </c>
      <c r="I703" s="5" t="s">
        <v>55</v>
      </c>
      <c r="J703" s="5" t="s">
        <v>1031</v>
      </c>
      <c r="K703" s="4">
        <v>1</v>
      </c>
      <c r="L703" s="38">
        <v>973.24</v>
      </c>
      <c r="M703" s="6">
        <v>0</v>
      </c>
      <c r="N703" s="38">
        <v>973.24</v>
      </c>
      <c r="O703" s="38">
        <v>0</v>
      </c>
      <c r="P703" s="54">
        <v>973.24</v>
      </c>
      <c r="Q703" s="38">
        <v>404.22</v>
      </c>
      <c r="R703" s="38">
        <v>569.02</v>
      </c>
      <c r="S703" s="6">
        <v>58.5</v>
      </c>
      <c r="T703" s="4" t="s">
        <v>44</v>
      </c>
      <c r="U703" s="16">
        <v>4</v>
      </c>
    </row>
    <row r="704" spans="1:21" x14ac:dyDescent="0.3">
      <c r="A704" s="13" t="s">
        <v>1032</v>
      </c>
      <c r="B704" s="45">
        <v>45550</v>
      </c>
      <c r="C704" s="1" t="s">
        <v>1000</v>
      </c>
      <c r="D704" s="41" t="s">
        <v>1375</v>
      </c>
      <c r="E704" s="1">
        <v>2024</v>
      </c>
      <c r="F704" s="1" t="s">
        <v>41</v>
      </c>
      <c r="G704" s="60" t="s">
        <v>30</v>
      </c>
      <c r="H704" s="2" t="s">
        <v>37</v>
      </c>
      <c r="I704" s="2" t="s">
        <v>55</v>
      </c>
      <c r="J704" s="2" t="s">
        <v>302</v>
      </c>
      <c r="K704" s="1">
        <v>5</v>
      </c>
      <c r="L704" s="37">
        <v>880.78</v>
      </c>
      <c r="M704" s="3">
        <v>10</v>
      </c>
      <c r="N704" s="37">
        <v>4403.8999999999996</v>
      </c>
      <c r="O704" s="37">
        <v>440.39</v>
      </c>
      <c r="P704" s="53">
        <v>3963.51</v>
      </c>
      <c r="Q704" s="37">
        <v>1521.51</v>
      </c>
      <c r="R704" s="37">
        <v>2442</v>
      </c>
      <c r="S704" s="3">
        <v>61.6</v>
      </c>
      <c r="T704" s="1" t="s">
        <v>27</v>
      </c>
      <c r="U704" s="15">
        <v>2</v>
      </c>
    </row>
    <row r="705" spans="1:21" x14ac:dyDescent="0.3">
      <c r="A705" s="14" t="s">
        <v>1033</v>
      </c>
      <c r="B705" s="46">
        <v>45550</v>
      </c>
      <c r="C705" s="4" t="s">
        <v>1000</v>
      </c>
      <c r="D705" s="42" t="s">
        <v>1375</v>
      </c>
      <c r="E705" s="4">
        <v>2024</v>
      </c>
      <c r="F705" s="4" t="s">
        <v>29</v>
      </c>
      <c r="G705" s="61" t="s">
        <v>36</v>
      </c>
      <c r="H705" s="5" t="s">
        <v>59</v>
      </c>
      <c r="I705" s="5" t="s">
        <v>31</v>
      </c>
      <c r="J705" s="5" t="s">
        <v>760</v>
      </c>
      <c r="K705" s="4">
        <v>19</v>
      </c>
      <c r="L705" s="38">
        <v>155.9</v>
      </c>
      <c r="M705" s="6">
        <v>5</v>
      </c>
      <c r="N705" s="38">
        <v>2962.1</v>
      </c>
      <c r="O705" s="38">
        <v>148.1</v>
      </c>
      <c r="P705" s="54">
        <v>2814</v>
      </c>
      <c r="Q705" s="38">
        <v>1519.2</v>
      </c>
      <c r="R705" s="38">
        <v>1294.8</v>
      </c>
      <c r="S705" s="6">
        <v>46</v>
      </c>
      <c r="T705" s="4" t="s">
        <v>44</v>
      </c>
      <c r="U705" s="16">
        <v>3</v>
      </c>
    </row>
    <row r="706" spans="1:21" x14ac:dyDescent="0.3">
      <c r="A706" s="13" t="s">
        <v>1034</v>
      </c>
      <c r="B706" s="45">
        <v>45550</v>
      </c>
      <c r="C706" s="1" t="s">
        <v>1000</v>
      </c>
      <c r="D706" s="41" t="s">
        <v>1375</v>
      </c>
      <c r="E706" s="1">
        <v>2024</v>
      </c>
      <c r="F706" s="1" t="s">
        <v>35</v>
      </c>
      <c r="G706" s="60" t="s">
        <v>42</v>
      </c>
      <c r="H706" s="2" t="s">
        <v>24</v>
      </c>
      <c r="I706" s="2" t="s">
        <v>47</v>
      </c>
      <c r="J706" s="2" t="s">
        <v>495</v>
      </c>
      <c r="K706" s="1">
        <v>5</v>
      </c>
      <c r="L706" s="37">
        <v>173.71</v>
      </c>
      <c r="M706" s="3">
        <v>20</v>
      </c>
      <c r="N706" s="37">
        <v>868.55</v>
      </c>
      <c r="O706" s="37">
        <v>173.71</v>
      </c>
      <c r="P706" s="53">
        <v>694.84</v>
      </c>
      <c r="Q706" s="37">
        <v>310.83999999999997</v>
      </c>
      <c r="R706" s="37">
        <v>384</v>
      </c>
      <c r="S706" s="3">
        <v>55.3</v>
      </c>
      <c r="T706" s="1" t="s">
        <v>44</v>
      </c>
      <c r="U706" s="15">
        <v>2</v>
      </c>
    </row>
    <row r="707" spans="1:21" x14ac:dyDescent="0.3">
      <c r="A707" s="14" t="s">
        <v>1035</v>
      </c>
      <c r="B707" s="46">
        <v>45551</v>
      </c>
      <c r="C707" s="4" t="s">
        <v>1000</v>
      </c>
      <c r="D707" s="42" t="s">
        <v>1375</v>
      </c>
      <c r="E707" s="4">
        <v>2024</v>
      </c>
      <c r="F707" s="4" t="s">
        <v>41</v>
      </c>
      <c r="G707" s="61" t="s">
        <v>46</v>
      </c>
      <c r="H707" s="5" t="s">
        <v>24</v>
      </c>
      <c r="I707" s="5" t="s">
        <v>31</v>
      </c>
      <c r="J707" s="5" t="s">
        <v>1036</v>
      </c>
      <c r="K707" s="4">
        <v>4</v>
      </c>
      <c r="L707" s="38">
        <v>52.58</v>
      </c>
      <c r="M707" s="6">
        <v>10</v>
      </c>
      <c r="N707" s="38">
        <v>210.32</v>
      </c>
      <c r="O707" s="38">
        <v>21.03</v>
      </c>
      <c r="P707" s="54">
        <v>189.29</v>
      </c>
      <c r="Q707" s="38">
        <v>75.760000000000005</v>
      </c>
      <c r="R707" s="38">
        <v>113.53</v>
      </c>
      <c r="S707" s="6">
        <v>60</v>
      </c>
      <c r="T707" s="4" t="s">
        <v>44</v>
      </c>
      <c r="U707" s="16">
        <v>2</v>
      </c>
    </row>
    <row r="708" spans="1:21" x14ac:dyDescent="0.3">
      <c r="A708" s="13" t="s">
        <v>1037</v>
      </c>
      <c r="B708" s="45">
        <v>45551</v>
      </c>
      <c r="C708" s="1" t="s">
        <v>1000</v>
      </c>
      <c r="D708" s="41" t="s">
        <v>1375</v>
      </c>
      <c r="E708" s="1">
        <v>2024</v>
      </c>
      <c r="F708" s="1" t="s">
        <v>41</v>
      </c>
      <c r="G708" s="60" t="s">
        <v>122</v>
      </c>
      <c r="H708" s="2" t="s">
        <v>24</v>
      </c>
      <c r="I708" s="2" t="s">
        <v>31</v>
      </c>
      <c r="J708" s="2" t="s">
        <v>763</v>
      </c>
      <c r="K708" s="1">
        <v>17</v>
      </c>
      <c r="L708" s="37">
        <v>72.89</v>
      </c>
      <c r="M708" s="3">
        <v>5</v>
      </c>
      <c r="N708" s="37">
        <v>1239.1300000000001</v>
      </c>
      <c r="O708" s="37">
        <v>61.96</v>
      </c>
      <c r="P708" s="53">
        <v>1177.17</v>
      </c>
      <c r="Q708" s="37">
        <v>509.51</v>
      </c>
      <c r="R708" s="37">
        <v>667.66</v>
      </c>
      <c r="S708" s="3">
        <v>56.7</v>
      </c>
      <c r="T708" s="1" t="s">
        <v>44</v>
      </c>
      <c r="U708" s="15">
        <v>3</v>
      </c>
    </row>
    <row r="709" spans="1:21" x14ac:dyDescent="0.3">
      <c r="A709" s="14" t="s">
        <v>1038</v>
      </c>
      <c r="B709" s="46">
        <v>45551</v>
      </c>
      <c r="C709" s="4" t="s">
        <v>1000</v>
      </c>
      <c r="D709" s="42" t="s">
        <v>1375</v>
      </c>
      <c r="E709" s="4">
        <v>2024</v>
      </c>
      <c r="F709" s="4" t="s">
        <v>29</v>
      </c>
      <c r="G709" s="61" t="s">
        <v>58</v>
      </c>
      <c r="H709" s="5" t="s">
        <v>24</v>
      </c>
      <c r="I709" s="5" t="s">
        <v>47</v>
      </c>
      <c r="J709" s="5" t="s">
        <v>129</v>
      </c>
      <c r="K709" s="4">
        <v>12</v>
      </c>
      <c r="L709" s="38">
        <v>41.94</v>
      </c>
      <c r="M709" s="6">
        <v>10</v>
      </c>
      <c r="N709" s="38">
        <v>503.28</v>
      </c>
      <c r="O709" s="38">
        <v>50.33</v>
      </c>
      <c r="P709" s="54">
        <v>452.95</v>
      </c>
      <c r="Q709" s="38">
        <v>174.79</v>
      </c>
      <c r="R709" s="38">
        <v>278.16000000000003</v>
      </c>
      <c r="S709" s="6">
        <v>61.4</v>
      </c>
      <c r="T709" s="4" t="s">
        <v>44</v>
      </c>
      <c r="U709" s="16">
        <v>4</v>
      </c>
    </row>
    <row r="710" spans="1:21" x14ac:dyDescent="0.3">
      <c r="A710" s="13" t="s">
        <v>1039</v>
      </c>
      <c r="B710" s="45">
        <v>45551</v>
      </c>
      <c r="C710" s="1" t="s">
        <v>1000</v>
      </c>
      <c r="D710" s="41" t="s">
        <v>1375</v>
      </c>
      <c r="E710" s="1">
        <v>2024</v>
      </c>
      <c r="F710" s="1" t="s">
        <v>22</v>
      </c>
      <c r="G710" s="60" t="s">
        <v>54</v>
      </c>
      <c r="H710" s="2" t="s">
        <v>24</v>
      </c>
      <c r="I710" s="2" t="s">
        <v>47</v>
      </c>
      <c r="J710" s="2" t="s">
        <v>73</v>
      </c>
      <c r="K710" s="1">
        <v>3</v>
      </c>
      <c r="L710" s="37">
        <v>434.76</v>
      </c>
      <c r="M710" s="3">
        <v>20</v>
      </c>
      <c r="N710" s="37">
        <v>1304.28</v>
      </c>
      <c r="O710" s="37">
        <v>260.86</v>
      </c>
      <c r="P710" s="53">
        <v>1043.42</v>
      </c>
      <c r="Q710" s="37">
        <v>612.22</v>
      </c>
      <c r="R710" s="37">
        <v>431.2</v>
      </c>
      <c r="S710" s="3">
        <v>41.3</v>
      </c>
      <c r="T710" s="1" t="s">
        <v>44</v>
      </c>
      <c r="U710" s="15">
        <v>1</v>
      </c>
    </row>
    <row r="711" spans="1:21" x14ac:dyDescent="0.3">
      <c r="A711" s="14" t="s">
        <v>1040</v>
      </c>
      <c r="B711" s="46">
        <v>45551</v>
      </c>
      <c r="C711" s="4" t="s">
        <v>1000</v>
      </c>
      <c r="D711" s="42" t="s">
        <v>1375</v>
      </c>
      <c r="E711" s="4">
        <v>2024</v>
      </c>
      <c r="F711" s="4" t="s">
        <v>22</v>
      </c>
      <c r="G711" s="61" t="s">
        <v>46</v>
      </c>
      <c r="H711" s="5" t="s">
        <v>50</v>
      </c>
      <c r="I711" s="5" t="s">
        <v>47</v>
      </c>
      <c r="J711" s="5" t="s">
        <v>889</v>
      </c>
      <c r="K711" s="4">
        <v>12</v>
      </c>
      <c r="L711" s="38">
        <v>375.8</v>
      </c>
      <c r="M711" s="6">
        <v>0</v>
      </c>
      <c r="N711" s="38">
        <v>4509.6000000000004</v>
      </c>
      <c r="O711" s="38">
        <v>0</v>
      </c>
      <c r="P711" s="54">
        <v>4509.6000000000004</v>
      </c>
      <c r="Q711" s="38">
        <v>1590.44</v>
      </c>
      <c r="R711" s="38">
        <v>2919.16</v>
      </c>
      <c r="S711" s="6">
        <v>64.7</v>
      </c>
      <c r="T711" s="4" t="s">
        <v>33</v>
      </c>
      <c r="U711" s="16">
        <v>5</v>
      </c>
    </row>
    <row r="712" spans="1:21" x14ac:dyDescent="0.3">
      <c r="A712" s="13" t="s">
        <v>1041</v>
      </c>
      <c r="B712" s="45">
        <v>45552</v>
      </c>
      <c r="C712" s="1" t="s">
        <v>1000</v>
      </c>
      <c r="D712" s="41" t="s">
        <v>1375</v>
      </c>
      <c r="E712" s="1">
        <v>2024</v>
      </c>
      <c r="F712" s="1" t="s">
        <v>41</v>
      </c>
      <c r="G712" s="60" t="s">
        <v>30</v>
      </c>
      <c r="H712" s="2" t="s">
        <v>59</v>
      </c>
      <c r="I712" s="2" t="s">
        <v>55</v>
      </c>
      <c r="J712" s="2" t="s">
        <v>100</v>
      </c>
      <c r="K712" s="1">
        <v>13</v>
      </c>
      <c r="L712" s="37">
        <v>68.650000000000006</v>
      </c>
      <c r="M712" s="3">
        <v>15</v>
      </c>
      <c r="N712" s="37">
        <v>892.45</v>
      </c>
      <c r="O712" s="37">
        <v>133.87</v>
      </c>
      <c r="P712" s="53">
        <v>758.58</v>
      </c>
      <c r="Q712" s="37">
        <v>275.06</v>
      </c>
      <c r="R712" s="37">
        <v>483.52</v>
      </c>
      <c r="S712" s="3">
        <v>63.7</v>
      </c>
      <c r="T712" s="1" t="s">
        <v>44</v>
      </c>
      <c r="U712" s="15">
        <v>5</v>
      </c>
    </row>
    <row r="713" spans="1:21" x14ac:dyDescent="0.3">
      <c r="A713" s="14" t="s">
        <v>1042</v>
      </c>
      <c r="B713" s="46">
        <v>45552</v>
      </c>
      <c r="C713" s="4" t="s">
        <v>1000</v>
      </c>
      <c r="D713" s="42" t="s">
        <v>1375</v>
      </c>
      <c r="E713" s="4">
        <v>2024</v>
      </c>
      <c r="F713" s="4" t="s">
        <v>35</v>
      </c>
      <c r="G713" s="61" t="s">
        <v>54</v>
      </c>
      <c r="H713" s="5" t="s">
        <v>37</v>
      </c>
      <c r="I713" s="5" t="s">
        <v>55</v>
      </c>
      <c r="J713" s="5" t="s">
        <v>637</v>
      </c>
      <c r="K713" s="4">
        <v>19</v>
      </c>
      <c r="L713" s="38">
        <v>686.31</v>
      </c>
      <c r="M713" s="6">
        <v>10</v>
      </c>
      <c r="N713" s="38">
        <v>13039.89</v>
      </c>
      <c r="O713" s="38">
        <v>1303.99</v>
      </c>
      <c r="P713" s="54">
        <v>11735.9</v>
      </c>
      <c r="Q713" s="38">
        <v>6866</v>
      </c>
      <c r="R713" s="38">
        <v>4869.8999999999996</v>
      </c>
      <c r="S713" s="6">
        <v>41.5</v>
      </c>
      <c r="T713" s="4" t="s">
        <v>33</v>
      </c>
      <c r="U713" s="16">
        <v>3</v>
      </c>
    </row>
    <row r="714" spans="1:21" x14ac:dyDescent="0.3">
      <c r="A714" s="13" t="s">
        <v>1043</v>
      </c>
      <c r="B714" s="45">
        <v>45552</v>
      </c>
      <c r="C714" s="1" t="s">
        <v>1000</v>
      </c>
      <c r="D714" s="41" t="s">
        <v>1375</v>
      </c>
      <c r="E714" s="1">
        <v>2024</v>
      </c>
      <c r="F714" s="1" t="s">
        <v>29</v>
      </c>
      <c r="G714" s="60" t="s">
        <v>122</v>
      </c>
      <c r="H714" s="2" t="s">
        <v>37</v>
      </c>
      <c r="I714" s="2" t="s">
        <v>75</v>
      </c>
      <c r="J714" s="2" t="s">
        <v>233</v>
      </c>
      <c r="K714" s="1">
        <v>4</v>
      </c>
      <c r="L714" s="37">
        <v>244.01</v>
      </c>
      <c r="M714" s="3">
        <v>0</v>
      </c>
      <c r="N714" s="37">
        <v>976.04</v>
      </c>
      <c r="O714" s="37">
        <v>0</v>
      </c>
      <c r="P714" s="53">
        <v>976.04</v>
      </c>
      <c r="Q714" s="37">
        <v>480.78</v>
      </c>
      <c r="R714" s="37">
        <v>495.26</v>
      </c>
      <c r="S714" s="3">
        <v>50.7</v>
      </c>
      <c r="T714" s="1" t="s">
        <v>44</v>
      </c>
      <c r="U714" s="15">
        <v>2</v>
      </c>
    </row>
    <row r="715" spans="1:21" x14ac:dyDescent="0.3">
      <c r="A715" s="14" t="s">
        <v>1044</v>
      </c>
      <c r="B715" s="46">
        <v>45553</v>
      </c>
      <c r="C715" s="4" t="s">
        <v>1000</v>
      </c>
      <c r="D715" s="42" t="s">
        <v>1375</v>
      </c>
      <c r="E715" s="4">
        <v>2024</v>
      </c>
      <c r="F715" s="4" t="s">
        <v>22</v>
      </c>
      <c r="G715" s="61" t="s">
        <v>23</v>
      </c>
      <c r="H715" s="5" t="s">
        <v>50</v>
      </c>
      <c r="I715" s="5" t="s">
        <v>38</v>
      </c>
      <c r="J715" s="5" t="s">
        <v>917</v>
      </c>
      <c r="K715" s="4">
        <v>11</v>
      </c>
      <c r="L715" s="38">
        <v>59</v>
      </c>
      <c r="M715" s="6">
        <v>15</v>
      </c>
      <c r="N715" s="38">
        <v>649</v>
      </c>
      <c r="O715" s="38">
        <v>97.35</v>
      </c>
      <c r="P715" s="54">
        <v>551.65</v>
      </c>
      <c r="Q715" s="38">
        <v>291.75</v>
      </c>
      <c r="R715" s="38">
        <v>259.89999999999998</v>
      </c>
      <c r="S715" s="6">
        <v>47.1</v>
      </c>
      <c r="T715" s="4" t="s">
        <v>27</v>
      </c>
      <c r="U715" s="16">
        <v>2</v>
      </c>
    </row>
    <row r="716" spans="1:21" x14ac:dyDescent="0.3">
      <c r="A716" s="13" t="s">
        <v>1045</v>
      </c>
      <c r="B716" s="45">
        <v>45553</v>
      </c>
      <c r="C716" s="1" t="s">
        <v>1000</v>
      </c>
      <c r="D716" s="41" t="s">
        <v>1375</v>
      </c>
      <c r="E716" s="1">
        <v>2024</v>
      </c>
      <c r="F716" s="1" t="s">
        <v>41</v>
      </c>
      <c r="G716" s="60" t="s">
        <v>23</v>
      </c>
      <c r="H716" s="2" t="s">
        <v>59</v>
      </c>
      <c r="I716" s="2" t="s">
        <v>75</v>
      </c>
      <c r="J716" s="2" t="s">
        <v>481</v>
      </c>
      <c r="K716" s="1">
        <v>10</v>
      </c>
      <c r="L716" s="37">
        <v>135.69999999999999</v>
      </c>
      <c r="M716" s="3">
        <v>20</v>
      </c>
      <c r="N716" s="37">
        <v>1357</v>
      </c>
      <c r="O716" s="37">
        <v>271.39999999999998</v>
      </c>
      <c r="P716" s="53">
        <v>1085.5999999999999</v>
      </c>
      <c r="Q716" s="37">
        <v>500.92</v>
      </c>
      <c r="R716" s="37">
        <v>584.67999999999995</v>
      </c>
      <c r="S716" s="3">
        <v>53.9</v>
      </c>
      <c r="T716" s="1" t="s">
        <v>27</v>
      </c>
      <c r="U716" s="15">
        <v>4</v>
      </c>
    </row>
    <row r="717" spans="1:21" x14ac:dyDescent="0.3">
      <c r="A717" s="14" t="s">
        <v>1046</v>
      </c>
      <c r="B717" s="46">
        <v>45555</v>
      </c>
      <c r="C717" s="4" t="s">
        <v>1000</v>
      </c>
      <c r="D717" s="42" t="s">
        <v>1375</v>
      </c>
      <c r="E717" s="4">
        <v>2024</v>
      </c>
      <c r="F717" s="4" t="s">
        <v>35</v>
      </c>
      <c r="G717" s="61" t="s">
        <v>36</v>
      </c>
      <c r="H717" s="5" t="s">
        <v>24</v>
      </c>
      <c r="I717" s="5" t="s">
        <v>31</v>
      </c>
      <c r="J717" s="5" t="s">
        <v>1036</v>
      </c>
      <c r="K717" s="4">
        <v>11</v>
      </c>
      <c r="L717" s="38">
        <v>51.3</v>
      </c>
      <c r="M717" s="6">
        <v>0</v>
      </c>
      <c r="N717" s="38">
        <v>564.29999999999995</v>
      </c>
      <c r="O717" s="38">
        <v>0</v>
      </c>
      <c r="P717" s="54">
        <v>564.29999999999995</v>
      </c>
      <c r="Q717" s="38">
        <v>212.65</v>
      </c>
      <c r="R717" s="38">
        <v>351.65</v>
      </c>
      <c r="S717" s="6">
        <v>62.3</v>
      </c>
      <c r="T717" s="4" t="s">
        <v>44</v>
      </c>
      <c r="U717" s="16">
        <v>4</v>
      </c>
    </row>
    <row r="718" spans="1:21" x14ac:dyDescent="0.3">
      <c r="A718" s="13" t="s">
        <v>1047</v>
      </c>
      <c r="B718" s="45">
        <v>45555</v>
      </c>
      <c r="C718" s="1" t="s">
        <v>1000</v>
      </c>
      <c r="D718" s="41" t="s">
        <v>1375</v>
      </c>
      <c r="E718" s="1">
        <v>2024</v>
      </c>
      <c r="F718" s="1" t="s">
        <v>22</v>
      </c>
      <c r="G718" s="60" t="s">
        <v>42</v>
      </c>
      <c r="H718" s="2" t="s">
        <v>24</v>
      </c>
      <c r="I718" s="2" t="s">
        <v>31</v>
      </c>
      <c r="J718" s="2" t="s">
        <v>43</v>
      </c>
      <c r="K718" s="1">
        <v>5</v>
      </c>
      <c r="L718" s="37">
        <v>57.55</v>
      </c>
      <c r="M718" s="3">
        <v>0</v>
      </c>
      <c r="N718" s="37">
        <v>287.75</v>
      </c>
      <c r="O718" s="37">
        <v>0</v>
      </c>
      <c r="P718" s="53">
        <v>287.75</v>
      </c>
      <c r="Q718" s="37">
        <v>114.33</v>
      </c>
      <c r="R718" s="37">
        <v>173.42</v>
      </c>
      <c r="S718" s="3">
        <v>60.3</v>
      </c>
      <c r="T718" s="1" t="s">
        <v>44</v>
      </c>
      <c r="U718" s="15">
        <v>4</v>
      </c>
    </row>
    <row r="719" spans="1:21" x14ac:dyDescent="0.3">
      <c r="A719" s="14" t="s">
        <v>1048</v>
      </c>
      <c r="B719" s="46">
        <v>45556</v>
      </c>
      <c r="C719" s="4" t="s">
        <v>1000</v>
      </c>
      <c r="D719" s="42" t="s">
        <v>1375</v>
      </c>
      <c r="E719" s="4">
        <v>2024</v>
      </c>
      <c r="F719" s="4" t="s">
        <v>53</v>
      </c>
      <c r="G719" s="61" t="s">
        <v>36</v>
      </c>
      <c r="H719" s="5" t="s">
        <v>37</v>
      </c>
      <c r="I719" s="5" t="s">
        <v>75</v>
      </c>
      <c r="J719" s="5" t="s">
        <v>305</v>
      </c>
      <c r="K719" s="4">
        <v>6</v>
      </c>
      <c r="L719" s="38">
        <v>238.67</v>
      </c>
      <c r="M719" s="6">
        <v>5</v>
      </c>
      <c r="N719" s="38">
        <v>1432.02</v>
      </c>
      <c r="O719" s="38">
        <v>71.599999999999994</v>
      </c>
      <c r="P719" s="54">
        <v>1360.42</v>
      </c>
      <c r="Q719" s="38">
        <v>513.45000000000005</v>
      </c>
      <c r="R719" s="38">
        <v>846.97</v>
      </c>
      <c r="S719" s="6">
        <v>62.3</v>
      </c>
      <c r="T719" s="4" t="s">
        <v>27</v>
      </c>
      <c r="U719" s="16">
        <v>4</v>
      </c>
    </row>
    <row r="720" spans="1:21" x14ac:dyDescent="0.3">
      <c r="A720" s="13" t="s">
        <v>1049</v>
      </c>
      <c r="B720" s="45">
        <v>45556</v>
      </c>
      <c r="C720" s="1" t="s">
        <v>1000</v>
      </c>
      <c r="D720" s="41" t="s">
        <v>1375</v>
      </c>
      <c r="E720" s="1">
        <v>2024</v>
      </c>
      <c r="F720" s="1" t="s">
        <v>41</v>
      </c>
      <c r="G720" s="60" t="s">
        <v>23</v>
      </c>
      <c r="H720" s="2" t="s">
        <v>37</v>
      </c>
      <c r="I720" s="2" t="s">
        <v>25</v>
      </c>
      <c r="J720" s="2" t="s">
        <v>414</v>
      </c>
      <c r="K720" s="1">
        <v>14</v>
      </c>
      <c r="L720" s="37">
        <v>44.4</v>
      </c>
      <c r="M720" s="3">
        <v>15</v>
      </c>
      <c r="N720" s="37">
        <v>621.6</v>
      </c>
      <c r="O720" s="37">
        <v>93.24</v>
      </c>
      <c r="P720" s="53">
        <v>528.36</v>
      </c>
      <c r="Q720" s="37">
        <v>282.99</v>
      </c>
      <c r="R720" s="37">
        <v>245.37</v>
      </c>
      <c r="S720" s="3">
        <v>46.4</v>
      </c>
      <c r="T720" s="1" t="s">
        <v>44</v>
      </c>
      <c r="U720" s="15">
        <v>5</v>
      </c>
    </row>
    <row r="721" spans="1:21" x14ac:dyDescent="0.3">
      <c r="A721" s="14" t="s">
        <v>1050</v>
      </c>
      <c r="B721" s="46">
        <v>45557</v>
      </c>
      <c r="C721" s="4" t="s">
        <v>1000</v>
      </c>
      <c r="D721" s="42" t="s">
        <v>1375</v>
      </c>
      <c r="E721" s="4">
        <v>2024</v>
      </c>
      <c r="F721" s="4" t="s">
        <v>29</v>
      </c>
      <c r="G721" s="61" t="s">
        <v>30</v>
      </c>
      <c r="H721" s="5" t="s">
        <v>50</v>
      </c>
      <c r="I721" s="5" t="s">
        <v>38</v>
      </c>
      <c r="J721" s="5" t="s">
        <v>553</v>
      </c>
      <c r="K721" s="4">
        <v>16</v>
      </c>
      <c r="L721" s="38">
        <v>46.3</v>
      </c>
      <c r="M721" s="6">
        <v>10</v>
      </c>
      <c r="N721" s="38">
        <v>740.8</v>
      </c>
      <c r="O721" s="38">
        <v>74.08</v>
      </c>
      <c r="P721" s="54">
        <v>666.72</v>
      </c>
      <c r="Q721" s="38">
        <v>419.54</v>
      </c>
      <c r="R721" s="38">
        <v>247.18</v>
      </c>
      <c r="S721" s="6">
        <v>37.1</v>
      </c>
      <c r="T721" s="4" t="s">
        <v>44</v>
      </c>
      <c r="U721" s="16">
        <v>3</v>
      </c>
    </row>
    <row r="722" spans="1:21" x14ac:dyDescent="0.3">
      <c r="A722" s="13" t="s">
        <v>1051</v>
      </c>
      <c r="B722" s="45">
        <v>45558</v>
      </c>
      <c r="C722" s="1" t="s">
        <v>1000</v>
      </c>
      <c r="D722" s="41" t="s">
        <v>1375</v>
      </c>
      <c r="E722" s="1">
        <v>2024</v>
      </c>
      <c r="F722" s="1" t="s">
        <v>35</v>
      </c>
      <c r="G722" s="60" t="s">
        <v>122</v>
      </c>
      <c r="H722" s="2" t="s">
        <v>59</v>
      </c>
      <c r="I722" s="2" t="s">
        <v>31</v>
      </c>
      <c r="J722" s="2" t="s">
        <v>282</v>
      </c>
      <c r="K722" s="1">
        <v>11</v>
      </c>
      <c r="L722" s="37">
        <v>189.54</v>
      </c>
      <c r="M722" s="3">
        <v>10</v>
      </c>
      <c r="N722" s="37">
        <v>2084.94</v>
      </c>
      <c r="O722" s="37">
        <v>208.49</v>
      </c>
      <c r="P722" s="53">
        <v>1876.45</v>
      </c>
      <c r="Q722" s="37">
        <v>1217.99</v>
      </c>
      <c r="R722" s="37">
        <v>658.46</v>
      </c>
      <c r="S722" s="3">
        <v>35.1</v>
      </c>
      <c r="T722" s="1" t="s">
        <v>44</v>
      </c>
      <c r="U722" s="15">
        <v>3</v>
      </c>
    </row>
    <row r="723" spans="1:21" x14ac:dyDescent="0.3">
      <c r="A723" s="14" t="s">
        <v>1052</v>
      </c>
      <c r="B723" s="46">
        <v>45558</v>
      </c>
      <c r="C723" s="4" t="s">
        <v>1000</v>
      </c>
      <c r="D723" s="42" t="s">
        <v>1375</v>
      </c>
      <c r="E723" s="4">
        <v>2024</v>
      </c>
      <c r="F723" s="4" t="s">
        <v>41</v>
      </c>
      <c r="G723" s="61" t="s">
        <v>30</v>
      </c>
      <c r="H723" s="5" t="s">
        <v>59</v>
      </c>
      <c r="I723" s="5" t="s">
        <v>25</v>
      </c>
      <c r="J723" s="5" t="s">
        <v>1053</v>
      </c>
      <c r="K723" s="4">
        <v>6</v>
      </c>
      <c r="L723" s="38">
        <v>57.26</v>
      </c>
      <c r="M723" s="6">
        <v>0</v>
      </c>
      <c r="N723" s="38">
        <v>343.56</v>
      </c>
      <c r="O723" s="38">
        <v>0</v>
      </c>
      <c r="P723" s="54">
        <v>343.56</v>
      </c>
      <c r="Q723" s="38">
        <v>184.68</v>
      </c>
      <c r="R723" s="38">
        <v>158.88</v>
      </c>
      <c r="S723" s="6">
        <v>46.2</v>
      </c>
      <c r="T723" s="4" t="s">
        <v>44</v>
      </c>
      <c r="U723" s="16">
        <v>5</v>
      </c>
    </row>
    <row r="724" spans="1:21" x14ac:dyDescent="0.3">
      <c r="A724" s="13" t="s">
        <v>1054</v>
      </c>
      <c r="B724" s="45">
        <v>45559</v>
      </c>
      <c r="C724" s="1" t="s">
        <v>1000</v>
      </c>
      <c r="D724" s="41" t="s">
        <v>1375</v>
      </c>
      <c r="E724" s="1">
        <v>2024</v>
      </c>
      <c r="F724" s="1" t="s">
        <v>22</v>
      </c>
      <c r="G724" s="60" t="s">
        <v>46</v>
      </c>
      <c r="H724" s="2" t="s">
        <v>24</v>
      </c>
      <c r="I724" s="2" t="s">
        <v>25</v>
      </c>
      <c r="J724" s="2" t="s">
        <v>183</v>
      </c>
      <c r="K724" s="1">
        <v>18</v>
      </c>
      <c r="L724" s="37">
        <v>116.87</v>
      </c>
      <c r="M724" s="3">
        <v>10</v>
      </c>
      <c r="N724" s="37">
        <v>2103.66</v>
      </c>
      <c r="O724" s="37">
        <v>210.37</v>
      </c>
      <c r="P724" s="53">
        <v>1893.29</v>
      </c>
      <c r="Q724" s="37">
        <v>696.6</v>
      </c>
      <c r="R724" s="37">
        <v>1196.69</v>
      </c>
      <c r="S724" s="3">
        <v>63.2</v>
      </c>
      <c r="T724" s="1" t="s">
        <v>33</v>
      </c>
      <c r="U724" s="15">
        <v>1</v>
      </c>
    </row>
    <row r="725" spans="1:21" x14ac:dyDescent="0.3">
      <c r="A725" s="14" t="s">
        <v>1055</v>
      </c>
      <c r="B725" s="46">
        <v>45559</v>
      </c>
      <c r="C725" s="4" t="s">
        <v>1000</v>
      </c>
      <c r="D725" s="42" t="s">
        <v>1375</v>
      </c>
      <c r="E725" s="4">
        <v>2024</v>
      </c>
      <c r="F725" s="4" t="s">
        <v>41</v>
      </c>
      <c r="G725" s="61" t="s">
        <v>30</v>
      </c>
      <c r="H725" s="5" t="s">
        <v>59</v>
      </c>
      <c r="I725" s="5" t="s">
        <v>38</v>
      </c>
      <c r="J725" s="5" t="s">
        <v>879</v>
      </c>
      <c r="K725" s="4">
        <v>20</v>
      </c>
      <c r="L725" s="38">
        <v>41.65</v>
      </c>
      <c r="M725" s="6">
        <v>5</v>
      </c>
      <c r="N725" s="38">
        <v>833</v>
      </c>
      <c r="O725" s="38">
        <v>41.65</v>
      </c>
      <c r="P725" s="54">
        <v>791.35</v>
      </c>
      <c r="Q725" s="38">
        <v>430</v>
      </c>
      <c r="R725" s="38">
        <v>361.35</v>
      </c>
      <c r="S725" s="6">
        <v>45.7</v>
      </c>
      <c r="T725" s="4" t="s">
        <v>44</v>
      </c>
      <c r="U725" s="16">
        <v>5</v>
      </c>
    </row>
    <row r="726" spans="1:21" x14ac:dyDescent="0.3">
      <c r="A726" s="13" t="s">
        <v>1056</v>
      </c>
      <c r="B726" s="45">
        <v>45559</v>
      </c>
      <c r="C726" s="1" t="s">
        <v>1000</v>
      </c>
      <c r="D726" s="41" t="s">
        <v>1375</v>
      </c>
      <c r="E726" s="1">
        <v>2024</v>
      </c>
      <c r="F726" s="1" t="s">
        <v>41</v>
      </c>
      <c r="G726" s="60" t="s">
        <v>42</v>
      </c>
      <c r="H726" s="2" t="s">
        <v>59</v>
      </c>
      <c r="I726" s="2" t="s">
        <v>47</v>
      </c>
      <c r="J726" s="2" t="s">
        <v>597</v>
      </c>
      <c r="K726" s="1">
        <v>12</v>
      </c>
      <c r="L726" s="37">
        <v>367.31</v>
      </c>
      <c r="M726" s="3">
        <v>5</v>
      </c>
      <c r="N726" s="37">
        <v>4407.72</v>
      </c>
      <c r="O726" s="37">
        <v>220.39</v>
      </c>
      <c r="P726" s="53">
        <v>4187.33</v>
      </c>
      <c r="Q726" s="37">
        <v>2346.5700000000002</v>
      </c>
      <c r="R726" s="37">
        <v>1840.76</v>
      </c>
      <c r="S726" s="3">
        <v>44</v>
      </c>
      <c r="T726" s="1" t="s">
        <v>44</v>
      </c>
      <c r="U726" s="15">
        <v>4</v>
      </c>
    </row>
    <row r="727" spans="1:21" x14ac:dyDescent="0.3">
      <c r="A727" s="14" t="s">
        <v>1057</v>
      </c>
      <c r="B727" s="46">
        <v>45560</v>
      </c>
      <c r="C727" s="4" t="s">
        <v>1000</v>
      </c>
      <c r="D727" s="42" t="s">
        <v>1375</v>
      </c>
      <c r="E727" s="4">
        <v>2024</v>
      </c>
      <c r="F727" s="4" t="s">
        <v>22</v>
      </c>
      <c r="G727" s="61" t="s">
        <v>54</v>
      </c>
      <c r="H727" s="5" t="s">
        <v>50</v>
      </c>
      <c r="I727" s="5" t="s">
        <v>55</v>
      </c>
      <c r="J727" s="5" t="s">
        <v>438</v>
      </c>
      <c r="K727" s="4">
        <v>8</v>
      </c>
      <c r="L727" s="38">
        <v>900.53</v>
      </c>
      <c r="M727" s="6">
        <v>10</v>
      </c>
      <c r="N727" s="38">
        <v>7204.24</v>
      </c>
      <c r="O727" s="38">
        <v>720.42</v>
      </c>
      <c r="P727" s="54">
        <v>6483.82</v>
      </c>
      <c r="Q727" s="38">
        <v>3808.85</v>
      </c>
      <c r="R727" s="38">
        <v>2674.97</v>
      </c>
      <c r="S727" s="6">
        <v>41.3</v>
      </c>
      <c r="T727" s="4" t="s">
        <v>44</v>
      </c>
      <c r="U727" s="16">
        <v>4</v>
      </c>
    </row>
    <row r="728" spans="1:21" x14ac:dyDescent="0.3">
      <c r="A728" s="13" t="s">
        <v>1058</v>
      </c>
      <c r="B728" s="45">
        <v>45562</v>
      </c>
      <c r="C728" s="1" t="s">
        <v>1000</v>
      </c>
      <c r="D728" s="41" t="s">
        <v>1375</v>
      </c>
      <c r="E728" s="1">
        <v>2024</v>
      </c>
      <c r="F728" s="1" t="s">
        <v>53</v>
      </c>
      <c r="G728" s="60" t="s">
        <v>46</v>
      </c>
      <c r="H728" s="2" t="s">
        <v>50</v>
      </c>
      <c r="I728" s="2" t="s">
        <v>75</v>
      </c>
      <c r="J728" s="2" t="s">
        <v>357</v>
      </c>
      <c r="K728" s="1">
        <v>19</v>
      </c>
      <c r="L728" s="37">
        <v>197.81</v>
      </c>
      <c r="M728" s="3">
        <v>15</v>
      </c>
      <c r="N728" s="37">
        <v>3758.39</v>
      </c>
      <c r="O728" s="37">
        <v>563.76</v>
      </c>
      <c r="P728" s="53">
        <v>3194.63</v>
      </c>
      <c r="Q728" s="37">
        <v>1238.71</v>
      </c>
      <c r="R728" s="37">
        <v>1955.92</v>
      </c>
      <c r="S728" s="3">
        <v>61.2</v>
      </c>
      <c r="T728" s="1" t="s">
        <v>44</v>
      </c>
      <c r="U728" s="15">
        <v>2</v>
      </c>
    </row>
    <row r="729" spans="1:21" x14ac:dyDescent="0.3">
      <c r="A729" s="14" t="s">
        <v>1059</v>
      </c>
      <c r="B729" s="46">
        <v>45562</v>
      </c>
      <c r="C729" s="4" t="s">
        <v>1000</v>
      </c>
      <c r="D729" s="42" t="s">
        <v>1375</v>
      </c>
      <c r="E729" s="4">
        <v>2024</v>
      </c>
      <c r="F729" s="4" t="s">
        <v>35</v>
      </c>
      <c r="G729" s="61" t="s">
        <v>122</v>
      </c>
      <c r="H729" s="5" t="s">
        <v>24</v>
      </c>
      <c r="I729" s="5" t="s">
        <v>38</v>
      </c>
      <c r="J729" s="5" t="s">
        <v>391</v>
      </c>
      <c r="K729" s="4">
        <v>6</v>
      </c>
      <c r="L729" s="38">
        <v>59.96</v>
      </c>
      <c r="M729" s="6">
        <v>20</v>
      </c>
      <c r="N729" s="38">
        <v>359.76</v>
      </c>
      <c r="O729" s="38">
        <v>71.95</v>
      </c>
      <c r="P729" s="54">
        <v>287.81</v>
      </c>
      <c r="Q729" s="38">
        <v>120.82</v>
      </c>
      <c r="R729" s="38">
        <v>166.99</v>
      </c>
      <c r="S729" s="6">
        <v>58</v>
      </c>
      <c r="T729" s="4" t="s">
        <v>33</v>
      </c>
      <c r="U729" s="16">
        <v>5</v>
      </c>
    </row>
    <row r="730" spans="1:21" x14ac:dyDescent="0.3">
      <c r="A730" s="13" t="s">
        <v>1060</v>
      </c>
      <c r="B730" s="45">
        <v>45562</v>
      </c>
      <c r="C730" s="1" t="s">
        <v>1000</v>
      </c>
      <c r="D730" s="41" t="s">
        <v>1375</v>
      </c>
      <c r="E730" s="1">
        <v>2024</v>
      </c>
      <c r="F730" s="1" t="s">
        <v>22</v>
      </c>
      <c r="G730" s="60" t="s">
        <v>91</v>
      </c>
      <c r="H730" s="2" t="s">
        <v>50</v>
      </c>
      <c r="I730" s="2" t="s">
        <v>55</v>
      </c>
      <c r="J730" s="2" t="s">
        <v>1061</v>
      </c>
      <c r="K730" s="1">
        <v>13</v>
      </c>
      <c r="L730" s="37">
        <v>455</v>
      </c>
      <c r="M730" s="3">
        <v>0</v>
      </c>
      <c r="N730" s="37">
        <v>5915</v>
      </c>
      <c r="O730" s="37">
        <v>0</v>
      </c>
      <c r="P730" s="53">
        <v>5915</v>
      </c>
      <c r="Q730" s="37">
        <v>3812.23</v>
      </c>
      <c r="R730" s="37">
        <v>2102.77</v>
      </c>
      <c r="S730" s="3">
        <v>35.5</v>
      </c>
      <c r="T730" s="1" t="s">
        <v>44</v>
      </c>
      <c r="U730" s="15">
        <v>3</v>
      </c>
    </row>
    <row r="731" spans="1:21" x14ac:dyDescent="0.3">
      <c r="A731" s="14" t="s">
        <v>1062</v>
      </c>
      <c r="B731" s="46">
        <v>45563</v>
      </c>
      <c r="C731" s="4" t="s">
        <v>1000</v>
      </c>
      <c r="D731" s="42" t="s">
        <v>1375</v>
      </c>
      <c r="E731" s="4">
        <v>2024</v>
      </c>
      <c r="F731" s="4" t="s">
        <v>41</v>
      </c>
      <c r="G731" s="61" t="s">
        <v>42</v>
      </c>
      <c r="H731" s="5" t="s">
        <v>24</v>
      </c>
      <c r="I731" s="5" t="s">
        <v>75</v>
      </c>
      <c r="J731" s="5" t="s">
        <v>708</v>
      </c>
      <c r="K731" s="4">
        <v>10</v>
      </c>
      <c r="L731" s="38">
        <v>77.48</v>
      </c>
      <c r="M731" s="6">
        <v>0</v>
      </c>
      <c r="N731" s="38">
        <v>774.8</v>
      </c>
      <c r="O731" s="38">
        <v>0</v>
      </c>
      <c r="P731" s="54">
        <v>774.8</v>
      </c>
      <c r="Q731" s="38">
        <v>454.47</v>
      </c>
      <c r="R731" s="38">
        <v>320.33</v>
      </c>
      <c r="S731" s="6">
        <v>41.3</v>
      </c>
      <c r="T731" s="4" t="s">
        <v>27</v>
      </c>
      <c r="U731" s="16">
        <v>3</v>
      </c>
    </row>
    <row r="732" spans="1:21" x14ac:dyDescent="0.3">
      <c r="A732" s="13" t="s">
        <v>1063</v>
      </c>
      <c r="B732" s="45">
        <v>45563</v>
      </c>
      <c r="C732" s="1" t="s">
        <v>1000</v>
      </c>
      <c r="D732" s="41" t="s">
        <v>1375</v>
      </c>
      <c r="E732" s="1">
        <v>2024</v>
      </c>
      <c r="F732" s="1" t="s">
        <v>41</v>
      </c>
      <c r="G732" s="60" t="s">
        <v>66</v>
      </c>
      <c r="H732" s="2" t="s">
        <v>50</v>
      </c>
      <c r="I732" s="2" t="s">
        <v>55</v>
      </c>
      <c r="J732" s="2" t="s">
        <v>385</v>
      </c>
      <c r="K732" s="1">
        <v>10</v>
      </c>
      <c r="L732" s="37">
        <v>678.53</v>
      </c>
      <c r="M732" s="3">
        <v>5</v>
      </c>
      <c r="N732" s="37">
        <v>6785.3</v>
      </c>
      <c r="O732" s="37">
        <v>339.27</v>
      </c>
      <c r="P732" s="53">
        <v>6446.03</v>
      </c>
      <c r="Q732" s="37">
        <v>3719.42</v>
      </c>
      <c r="R732" s="37">
        <v>2726.61</v>
      </c>
      <c r="S732" s="3">
        <v>42.3</v>
      </c>
      <c r="T732" s="1" t="s">
        <v>44</v>
      </c>
      <c r="U732" s="15">
        <v>1</v>
      </c>
    </row>
    <row r="733" spans="1:21" x14ac:dyDescent="0.3">
      <c r="A733" s="14" t="s">
        <v>1064</v>
      </c>
      <c r="B733" s="46">
        <v>45563</v>
      </c>
      <c r="C733" s="4" t="s">
        <v>1000</v>
      </c>
      <c r="D733" s="42" t="s">
        <v>1375</v>
      </c>
      <c r="E733" s="4">
        <v>2024</v>
      </c>
      <c r="F733" s="4" t="s">
        <v>29</v>
      </c>
      <c r="G733" s="61" t="s">
        <v>30</v>
      </c>
      <c r="H733" s="5" t="s">
        <v>50</v>
      </c>
      <c r="I733" s="5" t="s">
        <v>75</v>
      </c>
      <c r="J733" s="5" t="s">
        <v>584</v>
      </c>
      <c r="K733" s="4">
        <v>5</v>
      </c>
      <c r="L733" s="38">
        <v>94.02</v>
      </c>
      <c r="M733" s="6">
        <v>0</v>
      </c>
      <c r="N733" s="38">
        <v>470.1</v>
      </c>
      <c r="O733" s="38">
        <v>0</v>
      </c>
      <c r="P733" s="54">
        <v>470.1</v>
      </c>
      <c r="Q733" s="38">
        <v>278.14</v>
      </c>
      <c r="R733" s="38">
        <v>191.96</v>
      </c>
      <c r="S733" s="6">
        <v>40.799999999999997</v>
      </c>
      <c r="T733" s="4" t="s">
        <v>44</v>
      </c>
      <c r="U733" s="16">
        <v>4</v>
      </c>
    </row>
    <row r="734" spans="1:21" x14ac:dyDescent="0.3">
      <c r="A734" s="13" t="s">
        <v>1065</v>
      </c>
      <c r="B734" s="45">
        <v>45563</v>
      </c>
      <c r="C734" s="1" t="s">
        <v>1000</v>
      </c>
      <c r="D734" s="41" t="s">
        <v>1375</v>
      </c>
      <c r="E734" s="1">
        <v>2024</v>
      </c>
      <c r="F734" s="1" t="s">
        <v>41</v>
      </c>
      <c r="G734" s="60" t="s">
        <v>122</v>
      </c>
      <c r="H734" s="2" t="s">
        <v>37</v>
      </c>
      <c r="I734" s="2" t="s">
        <v>55</v>
      </c>
      <c r="J734" s="2" t="s">
        <v>60</v>
      </c>
      <c r="K734" s="1">
        <v>6</v>
      </c>
      <c r="L734" s="37">
        <v>1072.77</v>
      </c>
      <c r="M734" s="3">
        <v>0</v>
      </c>
      <c r="N734" s="37">
        <v>6436.62</v>
      </c>
      <c r="O734" s="37">
        <v>0</v>
      </c>
      <c r="P734" s="53">
        <v>6436.62</v>
      </c>
      <c r="Q734" s="37">
        <v>3099.98</v>
      </c>
      <c r="R734" s="37">
        <v>3336.64</v>
      </c>
      <c r="S734" s="3">
        <v>51.8</v>
      </c>
      <c r="T734" s="1" t="s">
        <v>44</v>
      </c>
      <c r="U734" s="15">
        <v>2</v>
      </c>
    </row>
    <row r="735" spans="1:21" x14ac:dyDescent="0.3">
      <c r="A735" s="14" t="s">
        <v>1066</v>
      </c>
      <c r="B735" s="46">
        <v>45564</v>
      </c>
      <c r="C735" s="4" t="s">
        <v>1000</v>
      </c>
      <c r="D735" s="42" t="s">
        <v>1375</v>
      </c>
      <c r="E735" s="4">
        <v>2024</v>
      </c>
      <c r="F735" s="4" t="s">
        <v>22</v>
      </c>
      <c r="G735" s="61" t="s">
        <v>46</v>
      </c>
      <c r="H735" s="5" t="s">
        <v>37</v>
      </c>
      <c r="I735" s="5" t="s">
        <v>47</v>
      </c>
      <c r="J735" s="5" t="s">
        <v>597</v>
      </c>
      <c r="K735" s="4">
        <v>1</v>
      </c>
      <c r="L735" s="38">
        <v>495.36</v>
      </c>
      <c r="M735" s="6">
        <v>5</v>
      </c>
      <c r="N735" s="38">
        <v>495.36</v>
      </c>
      <c r="O735" s="38">
        <v>24.77</v>
      </c>
      <c r="P735" s="54">
        <v>470.59</v>
      </c>
      <c r="Q735" s="38">
        <v>191.95</v>
      </c>
      <c r="R735" s="38">
        <v>278.64</v>
      </c>
      <c r="S735" s="6">
        <v>59.2</v>
      </c>
      <c r="T735" s="4" t="s">
        <v>33</v>
      </c>
      <c r="U735" s="16">
        <v>1</v>
      </c>
    </row>
    <row r="736" spans="1:21" x14ac:dyDescent="0.3">
      <c r="A736" s="13" t="s">
        <v>1067</v>
      </c>
      <c r="B736" s="45">
        <v>45564</v>
      </c>
      <c r="C736" s="1" t="s">
        <v>1000</v>
      </c>
      <c r="D736" s="41" t="s">
        <v>1375</v>
      </c>
      <c r="E736" s="1">
        <v>2024</v>
      </c>
      <c r="F736" s="1" t="s">
        <v>29</v>
      </c>
      <c r="G736" s="60" t="s">
        <v>30</v>
      </c>
      <c r="H736" s="2" t="s">
        <v>50</v>
      </c>
      <c r="I736" s="2" t="s">
        <v>25</v>
      </c>
      <c r="J736" s="2" t="s">
        <v>426</v>
      </c>
      <c r="K736" s="1">
        <v>19</v>
      </c>
      <c r="L736" s="37">
        <v>144.01</v>
      </c>
      <c r="M736" s="3">
        <v>20</v>
      </c>
      <c r="N736" s="37">
        <v>2736.19</v>
      </c>
      <c r="O736" s="37">
        <v>547.24</v>
      </c>
      <c r="P736" s="53">
        <v>2188.9499999999998</v>
      </c>
      <c r="Q736" s="37">
        <v>1218.75</v>
      </c>
      <c r="R736" s="37">
        <v>970.2</v>
      </c>
      <c r="S736" s="3">
        <v>44.3</v>
      </c>
      <c r="T736" s="1" t="s">
        <v>33</v>
      </c>
      <c r="U736" s="15">
        <v>5</v>
      </c>
    </row>
    <row r="737" spans="1:21" x14ac:dyDescent="0.3">
      <c r="A737" s="14" t="s">
        <v>1068</v>
      </c>
      <c r="B737" s="46">
        <v>45565</v>
      </c>
      <c r="C737" s="4" t="s">
        <v>1000</v>
      </c>
      <c r="D737" s="42" t="s">
        <v>1375</v>
      </c>
      <c r="E737" s="4">
        <v>2024</v>
      </c>
      <c r="F737" s="4" t="s">
        <v>41</v>
      </c>
      <c r="G737" s="61" t="s">
        <v>23</v>
      </c>
      <c r="H737" s="5" t="s">
        <v>50</v>
      </c>
      <c r="I737" s="5" t="s">
        <v>75</v>
      </c>
      <c r="J737" s="5" t="s">
        <v>322</v>
      </c>
      <c r="K737" s="4">
        <v>13</v>
      </c>
      <c r="L737" s="38">
        <v>221.48</v>
      </c>
      <c r="M737" s="6">
        <v>0</v>
      </c>
      <c r="N737" s="38">
        <v>2879.24</v>
      </c>
      <c r="O737" s="38">
        <v>0</v>
      </c>
      <c r="P737" s="54">
        <v>2879.24</v>
      </c>
      <c r="Q737" s="38">
        <v>1317.11</v>
      </c>
      <c r="R737" s="38">
        <v>1562.13</v>
      </c>
      <c r="S737" s="6">
        <v>54.3</v>
      </c>
      <c r="T737" s="4" t="s">
        <v>27</v>
      </c>
      <c r="U737" s="16">
        <v>3</v>
      </c>
    </row>
    <row r="738" spans="1:21" x14ac:dyDescent="0.3">
      <c r="A738" s="13" t="s">
        <v>1069</v>
      </c>
      <c r="B738" s="45">
        <v>45565</v>
      </c>
      <c r="C738" s="1" t="s">
        <v>1000</v>
      </c>
      <c r="D738" s="41" t="s">
        <v>1375</v>
      </c>
      <c r="E738" s="1">
        <v>2024</v>
      </c>
      <c r="F738" s="1" t="s">
        <v>22</v>
      </c>
      <c r="G738" s="60" t="s">
        <v>91</v>
      </c>
      <c r="H738" s="2" t="s">
        <v>50</v>
      </c>
      <c r="I738" s="2" t="s">
        <v>25</v>
      </c>
      <c r="J738" s="2" t="s">
        <v>243</v>
      </c>
      <c r="K738" s="1">
        <v>19</v>
      </c>
      <c r="L738" s="37">
        <v>127.47</v>
      </c>
      <c r="M738" s="3">
        <v>0</v>
      </c>
      <c r="N738" s="37">
        <v>2421.9299999999998</v>
      </c>
      <c r="O738" s="37">
        <v>0</v>
      </c>
      <c r="P738" s="53">
        <v>2421.9299999999998</v>
      </c>
      <c r="Q738" s="37">
        <v>945.57</v>
      </c>
      <c r="R738" s="37">
        <v>1476.36</v>
      </c>
      <c r="S738" s="3">
        <v>61</v>
      </c>
      <c r="T738" s="1" t="s">
        <v>44</v>
      </c>
      <c r="U738" s="15">
        <v>5</v>
      </c>
    </row>
    <row r="739" spans="1:21" x14ac:dyDescent="0.3">
      <c r="A739" s="14" t="s">
        <v>1070</v>
      </c>
      <c r="B739" s="46">
        <v>45565</v>
      </c>
      <c r="C739" s="4" t="s">
        <v>1000</v>
      </c>
      <c r="D739" s="42" t="s">
        <v>1375</v>
      </c>
      <c r="E739" s="4">
        <v>2024</v>
      </c>
      <c r="F739" s="4" t="s">
        <v>35</v>
      </c>
      <c r="G739" s="61" t="s">
        <v>46</v>
      </c>
      <c r="H739" s="5" t="s">
        <v>37</v>
      </c>
      <c r="I739" s="5" t="s">
        <v>75</v>
      </c>
      <c r="J739" s="5" t="s">
        <v>98</v>
      </c>
      <c r="K739" s="4">
        <v>2</v>
      </c>
      <c r="L739" s="38">
        <v>52.87</v>
      </c>
      <c r="M739" s="6">
        <v>5</v>
      </c>
      <c r="N739" s="38">
        <v>105.74</v>
      </c>
      <c r="O739" s="38">
        <v>5.29</v>
      </c>
      <c r="P739" s="54">
        <v>100.45</v>
      </c>
      <c r="Q739" s="38">
        <v>62.24</v>
      </c>
      <c r="R739" s="38">
        <v>38.21</v>
      </c>
      <c r="S739" s="6">
        <v>38</v>
      </c>
      <c r="T739" s="4" t="s">
        <v>44</v>
      </c>
      <c r="U739" s="16">
        <v>4</v>
      </c>
    </row>
    <row r="740" spans="1:21" x14ac:dyDescent="0.3">
      <c r="A740" s="13" t="s">
        <v>1071</v>
      </c>
      <c r="B740" s="45">
        <v>45566</v>
      </c>
      <c r="C740" s="1" t="s">
        <v>1072</v>
      </c>
      <c r="D740" s="41" t="s">
        <v>1376</v>
      </c>
      <c r="E740" s="1">
        <v>2024</v>
      </c>
      <c r="F740" s="1" t="s">
        <v>35</v>
      </c>
      <c r="G740" s="60" t="s">
        <v>58</v>
      </c>
      <c r="H740" s="2" t="s">
        <v>24</v>
      </c>
      <c r="I740" s="2" t="s">
        <v>38</v>
      </c>
      <c r="J740" s="2" t="s">
        <v>590</v>
      </c>
      <c r="K740" s="1">
        <v>6</v>
      </c>
      <c r="L740" s="37">
        <v>66.349999999999994</v>
      </c>
      <c r="M740" s="3">
        <v>10</v>
      </c>
      <c r="N740" s="37">
        <v>398.1</v>
      </c>
      <c r="O740" s="37">
        <v>39.81</v>
      </c>
      <c r="P740" s="53">
        <v>358.29</v>
      </c>
      <c r="Q740" s="37">
        <v>177.57</v>
      </c>
      <c r="R740" s="37">
        <v>180.72</v>
      </c>
      <c r="S740" s="3">
        <v>50.4</v>
      </c>
      <c r="T740" s="1" t="s">
        <v>44</v>
      </c>
      <c r="U740" s="15">
        <v>3</v>
      </c>
    </row>
    <row r="741" spans="1:21" x14ac:dyDescent="0.3">
      <c r="A741" s="14" t="s">
        <v>1073</v>
      </c>
      <c r="B741" s="46">
        <v>45566</v>
      </c>
      <c r="C741" s="4" t="s">
        <v>1072</v>
      </c>
      <c r="D741" s="42" t="s">
        <v>1376</v>
      </c>
      <c r="E741" s="4">
        <v>2024</v>
      </c>
      <c r="F741" s="4" t="s">
        <v>41</v>
      </c>
      <c r="G741" s="61" t="s">
        <v>91</v>
      </c>
      <c r="H741" s="5" t="s">
        <v>59</v>
      </c>
      <c r="I741" s="5" t="s">
        <v>38</v>
      </c>
      <c r="J741" s="5" t="s">
        <v>879</v>
      </c>
      <c r="K741" s="4">
        <v>20</v>
      </c>
      <c r="L741" s="38">
        <v>8.64</v>
      </c>
      <c r="M741" s="6">
        <v>15</v>
      </c>
      <c r="N741" s="38">
        <v>172.8</v>
      </c>
      <c r="O741" s="38">
        <v>25.92</v>
      </c>
      <c r="P741" s="54">
        <v>146.88</v>
      </c>
      <c r="Q741" s="38">
        <v>70.69</v>
      </c>
      <c r="R741" s="38">
        <v>76.19</v>
      </c>
      <c r="S741" s="6">
        <v>51.9</v>
      </c>
      <c r="T741" s="4" t="s">
        <v>44</v>
      </c>
      <c r="U741" s="16">
        <v>5</v>
      </c>
    </row>
    <row r="742" spans="1:21" x14ac:dyDescent="0.3">
      <c r="A742" s="13" t="s">
        <v>1074</v>
      </c>
      <c r="B742" s="45">
        <v>45566</v>
      </c>
      <c r="C742" s="1" t="s">
        <v>1072</v>
      </c>
      <c r="D742" s="41" t="s">
        <v>1376</v>
      </c>
      <c r="E742" s="1">
        <v>2024</v>
      </c>
      <c r="F742" s="1" t="s">
        <v>35</v>
      </c>
      <c r="G742" s="60" t="s">
        <v>46</v>
      </c>
      <c r="H742" s="2" t="s">
        <v>50</v>
      </c>
      <c r="I742" s="2" t="s">
        <v>75</v>
      </c>
      <c r="J742" s="2" t="s">
        <v>831</v>
      </c>
      <c r="K742" s="1">
        <v>11</v>
      </c>
      <c r="L742" s="37">
        <v>27.39</v>
      </c>
      <c r="M742" s="3">
        <v>15</v>
      </c>
      <c r="N742" s="37">
        <v>301.29000000000002</v>
      </c>
      <c r="O742" s="37">
        <v>45.19</v>
      </c>
      <c r="P742" s="53">
        <v>256.10000000000002</v>
      </c>
      <c r="Q742" s="37">
        <v>112.28</v>
      </c>
      <c r="R742" s="37">
        <v>143.82</v>
      </c>
      <c r="S742" s="3">
        <v>56.2</v>
      </c>
      <c r="T742" s="1" t="s">
        <v>33</v>
      </c>
      <c r="U742" s="15">
        <v>5</v>
      </c>
    </row>
    <row r="743" spans="1:21" x14ac:dyDescent="0.3">
      <c r="A743" s="14" t="s">
        <v>1075</v>
      </c>
      <c r="B743" s="46">
        <v>45566</v>
      </c>
      <c r="C743" s="4" t="s">
        <v>1072</v>
      </c>
      <c r="D743" s="42" t="s">
        <v>1376</v>
      </c>
      <c r="E743" s="4">
        <v>2024</v>
      </c>
      <c r="F743" s="4" t="s">
        <v>41</v>
      </c>
      <c r="G743" s="61" t="s">
        <v>36</v>
      </c>
      <c r="H743" s="5" t="s">
        <v>50</v>
      </c>
      <c r="I743" s="5" t="s">
        <v>47</v>
      </c>
      <c r="J743" s="5" t="s">
        <v>164</v>
      </c>
      <c r="K743" s="4">
        <v>20</v>
      </c>
      <c r="L743" s="38">
        <v>86</v>
      </c>
      <c r="M743" s="6">
        <v>10</v>
      </c>
      <c r="N743" s="38">
        <v>1720</v>
      </c>
      <c r="O743" s="38">
        <v>172</v>
      </c>
      <c r="P743" s="54">
        <v>1548</v>
      </c>
      <c r="Q743" s="38">
        <v>865.5</v>
      </c>
      <c r="R743" s="38">
        <v>682.5</v>
      </c>
      <c r="S743" s="6">
        <v>44.1</v>
      </c>
      <c r="T743" s="4" t="s">
        <v>33</v>
      </c>
      <c r="U743" s="16">
        <v>3</v>
      </c>
    </row>
    <row r="744" spans="1:21" x14ac:dyDescent="0.3">
      <c r="A744" s="13" t="s">
        <v>1076</v>
      </c>
      <c r="B744" s="45">
        <v>45566</v>
      </c>
      <c r="C744" s="1" t="s">
        <v>1072</v>
      </c>
      <c r="D744" s="41" t="s">
        <v>1376</v>
      </c>
      <c r="E744" s="1">
        <v>2024</v>
      </c>
      <c r="F744" s="1" t="s">
        <v>29</v>
      </c>
      <c r="G744" s="60" t="s">
        <v>42</v>
      </c>
      <c r="H744" s="2" t="s">
        <v>37</v>
      </c>
      <c r="I744" s="2" t="s">
        <v>55</v>
      </c>
      <c r="J744" s="2" t="s">
        <v>260</v>
      </c>
      <c r="K744" s="1">
        <v>8</v>
      </c>
      <c r="L744" s="37">
        <v>775.31</v>
      </c>
      <c r="M744" s="3">
        <v>0</v>
      </c>
      <c r="N744" s="37">
        <v>6202.48</v>
      </c>
      <c r="O744" s="37">
        <v>0</v>
      </c>
      <c r="P744" s="53">
        <v>6202.48</v>
      </c>
      <c r="Q744" s="37">
        <v>2523.9899999999998</v>
      </c>
      <c r="R744" s="37">
        <v>3678.49</v>
      </c>
      <c r="S744" s="3">
        <v>59.3</v>
      </c>
      <c r="T744" s="1" t="s">
        <v>44</v>
      </c>
      <c r="U744" s="15">
        <v>4</v>
      </c>
    </row>
    <row r="745" spans="1:21" x14ac:dyDescent="0.3">
      <c r="A745" s="14" t="s">
        <v>1077</v>
      </c>
      <c r="B745" s="46">
        <v>45567</v>
      </c>
      <c r="C745" s="4" t="s">
        <v>1072</v>
      </c>
      <c r="D745" s="42" t="s">
        <v>1376</v>
      </c>
      <c r="E745" s="4">
        <v>2024</v>
      </c>
      <c r="F745" s="4" t="s">
        <v>35</v>
      </c>
      <c r="G745" s="61" t="s">
        <v>23</v>
      </c>
      <c r="H745" s="5" t="s">
        <v>50</v>
      </c>
      <c r="I745" s="5" t="s">
        <v>75</v>
      </c>
      <c r="J745" s="5" t="s">
        <v>160</v>
      </c>
      <c r="K745" s="4">
        <v>19</v>
      </c>
      <c r="L745" s="38">
        <v>50.49</v>
      </c>
      <c r="M745" s="6">
        <v>20</v>
      </c>
      <c r="N745" s="38">
        <v>959.31</v>
      </c>
      <c r="O745" s="38">
        <v>191.86</v>
      </c>
      <c r="P745" s="54">
        <v>767.45</v>
      </c>
      <c r="Q745" s="38">
        <v>311.58</v>
      </c>
      <c r="R745" s="38">
        <v>455.87</v>
      </c>
      <c r="S745" s="6">
        <v>59.4</v>
      </c>
      <c r="T745" s="4" t="s">
        <v>27</v>
      </c>
      <c r="U745" s="16">
        <v>1</v>
      </c>
    </row>
    <row r="746" spans="1:21" x14ac:dyDescent="0.3">
      <c r="A746" s="13" t="s">
        <v>1078</v>
      </c>
      <c r="B746" s="45">
        <v>45567</v>
      </c>
      <c r="C746" s="1" t="s">
        <v>1072</v>
      </c>
      <c r="D746" s="41" t="s">
        <v>1376</v>
      </c>
      <c r="E746" s="1">
        <v>2024</v>
      </c>
      <c r="F746" s="1" t="s">
        <v>29</v>
      </c>
      <c r="G746" s="60" t="s">
        <v>91</v>
      </c>
      <c r="H746" s="2" t="s">
        <v>24</v>
      </c>
      <c r="I746" s="2" t="s">
        <v>55</v>
      </c>
      <c r="J746" s="2" t="s">
        <v>897</v>
      </c>
      <c r="K746" s="1">
        <v>4</v>
      </c>
      <c r="L746" s="37">
        <v>223.68</v>
      </c>
      <c r="M746" s="3">
        <v>15</v>
      </c>
      <c r="N746" s="37">
        <v>894.72</v>
      </c>
      <c r="O746" s="37">
        <v>134.21</v>
      </c>
      <c r="P746" s="53">
        <v>760.51</v>
      </c>
      <c r="Q746" s="37">
        <v>345.5</v>
      </c>
      <c r="R746" s="37">
        <v>415.01</v>
      </c>
      <c r="S746" s="3">
        <v>54.6</v>
      </c>
      <c r="T746" s="1" t="s">
        <v>33</v>
      </c>
      <c r="U746" s="15">
        <v>1</v>
      </c>
    </row>
    <row r="747" spans="1:21" x14ac:dyDescent="0.3">
      <c r="A747" s="14" t="s">
        <v>1079</v>
      </c>
      <c r="B747" s="46">
        <v>45567</v>
      </c>
      <c r="C747" s="4" t="s">
        <v>1072</v>
      </c>
      <c r="D747" s="42" t="s">
        <v>1376</v>
      </c>
      <c r="E747" s="4">
        <v>2024</v>
      </c>
      <c r="F747" s="4" t="s">
        <v>29</v>
      </c>
      <c r="G747" s="61" t="s">
        <v>23</v>
      </c>
      <c r="H747" s="5" t="s">
        <v>59</v>
      </c>
      <c r="I747" s="5" t="s">
        <v>47</v>
      </c>
      <c r="J747" s="5" t="s">
        <v>515</v>
      </c>
      <c r="K747" s="4">
        <v>16</v>
      </c>
      <c r="L747" s="38">
        <v>124.99</v>
      </c>
      <c r="M747" s="6">
        <v>10</v>
      </c>
      <c r="N747" s="38">
        <v>1999.84</v>
      </c>
      <c r="O747" s="38">
        <v>199.98</v>
      </c>
      <c r="P747" s="54">
        <v>1799.86</v>
      </c>
      <c r="Q747" s="38">
        <v>1025.42</v>
      </c>
      <c r="R747" s="38">
        <v>774.44</v>
      </c>
      <c r="S747" s="6">
        <v>43</v>
      </c>
      <c r="T747" s="4" t="s">
        <v>44</v>
      </c>
      <c r="U747" s="16">
        <v>2</v>
      </c>
    </row>
    <row r="748" spans="1:21" x14ac:dyDescent="0.3">
      <c r="A748" s="13" t="s">
        <v>1080</v>
      </c>
      <c r="B748" s="45">
        <v>45567</v>
      </c>
      <c r="C748" s="1" t="s">
        <v>1072</v>
      </c>
      <c r="D748" s="41" t="s">
        <v>1376</v>
      </c>
      <c r="E748" s="1">
        <v>2024</v>
      </c>
      <c r="F748" s="1" t="s">
        <v>29</v>
      </c>
      <c r="G748" s="60" t="s">
        <v>36</v>
      </c>
      <c r="H748" s="2" t="s">
        <v>50</v>
      </c>
      <c r="I748" s="2" t="s">
        <v>31</v>
      </c>
      <c r="J748" s="2" t="s">
        <v>249</v>
      </c>
      <c r="K748" s="1">
        <v>5</v>
      </c>
      <c r="L748" s="37">
        <v>99.36</v>
      </c>
      <c r="M748" s="3">
        <v>20</v>
      </c>
      <c r="N748" s="37">
        <v>496.8</v>
      </c>
      <c r="O748" s="37">
        <v>99.36</v>
      </c>
      <c r="P748" s="53">
        <v>397.44</v>
      </c>
      <c r="Q748" s="37">
        <v>171.93</v>
      </c>
      <c r="R748" s="37">
        <v>225.51</v>
      </c>
      <c r="S748" s="3">
        <v>56.7</v>
      </c>
      <c r="T748" s="1" t="s">
        <v>44</v>
      </c>
      <c r="U748" s="15">
        <v>3</v>
      </c>
    </row>
    <row r="749" spans="1:21" x14ac:dyDescent="0.3">
      <c r="A749" s="14" t="s">
        <v>1081</v>
      </c>
      <c r="B749" s="46">
        <v>45567</v>
      </c>
      <c r="C749" s="4" t="s">
        <v>1072</v>
      </c>
      <c r="D749" s="42" t="s">
        <v>1376</v>
      </c>
      <c r="E749" s="4">
        <v>2024</v>
      </c>
      <c r="F749" s="4" t="s">
        <v>53</v>
      </c>
      <c r="G749" s="61" t="s">
        <v>30</v>
      </c>
      <c r="H749" s="5" t="s">
        <v>24</v>
      </c>
      <c r="I749" s="5" t="s">
        <v>25</v>
      </c>
      <c r="J749" s="5" t="s">
        <v>426</v>
      </c>
      <c r="K749" s="4">
        <v>11</v>
      </c>
      <c r="L749" s="38">
        <v>18.46</v>
      </c>
      <c r="M749" s="6">
        <v>0</v>
      </c>
      <c r="N749" s="38">
        <v>203.06</v>
      </c>
      <c r="O749" s="38">
        <v>0</v>
      </c>
      <c r="P749" s="54">
        <v>203.06</v>
      </c>
      <c r="Q749" s="38">
        <v>121.72</v>
      </c>
      <c r="R749" s="38">
        <v>81.34</v>
      </c>
      <c r="S749" s="6">
        <v>40.1</v>
      </c>
      <c r="T749" s="4" t="s">
        <v>44</v>
      </c>
      <c r="U749" s="16">
        <v>4</v>
      </c>
    </row>
    <row r="750" spans="1:21" x14ac:dyDescent="0.3">
      <c r="A750" s="13" t="s">
        <v>1082</v>
      </c>
      <c r="B750" s="45">
        <v>45568</v>
      </c>
      <c r="C750" s="1" t="s">
        <v>1072</v>
      </c>
      <c r="D750" s="41" t="s">
        <v>1376</v>
      </c>
      <c r="E750" s="1">
        <v>2024</v>
      </c>
      <c r="F750" s="1" t="s">
        <v>22</v>
      </c>
      <c r="G750" s="60" t="s">
        <v>46</v>
      </c>
      <c r="H750" s="2" t="s">
        <v>59</v>
      </c>
      <c r="I750" s="2" t="s">
        <v>75</v>
      </c>
      <c r="J750" s="2" t="s">
        <v>383</v>
      </c>
      <c r="K750" s="1">
        <v>3</v>
      </c>
      <c r="L750" s="37">
        <v>264.14999999999998</v>
      </c>
      <c r="M750" s="3">
        <v>15</v>
      </c>
      <c r="N750" s="37">
        <v>792.45</v>
      </c>
      <c r="O750" s="37">
        <v>118.87</v>
      </c>
      <c r="P750" s="53">
        <v>673.58</v>
      </c>
      <c r="Q750" s="37">
        <v>420.54</v>
      </c>
      <c r="R750" s="37">
        <v>253.04</v>
      </c>
      <c r="S750" s="3">
        <v>37.6</v>
      </c>
      <c r="T750" s="1" t="s">
        <v>44</v>
      </c>
      <c r="U750" s="15">
        <v>2</v>
      </c>
    </row>
    <row r="751" spans="1:21" x14ac:dyDescent="0.3">
      <c r="A751" s="14" t="s">
        <v>1083</v>
      </c>
      <c r="B751" s="46">
        <v>45568</v>
      </c>
      <c r="C751" s="4" t="s">
        <v>1072</v>
      </c>
      <c r="D751" s="42" t="s">
        <v>1376</v>
      </c>
      <c r="E751" s="4">
        <v>2024</v>
      </c>
      <c r="F751" s="4" t="s">
        <v>41</v>
      </c>
      <c r="G751" s="61" t="s">
        <v>122</v>
      </c>
      <c r="H751" s="5" t="s">
        <v>37</v>
      </c>
      <c r="I751" s="5" t="s">
        <v>38</v>
      </c>
      <c r="J751" s="5" t="s">
        <v>445</v>
      </c>
      <c r="K751" s="4">
        <v>8</v>
      </c>
      <c r="L751" s="38">
        <v>75.040000000000006</v>
      </c>
      <c r="M751" s="6">
        <v>15</v>
      </c>
      <c r="N751" s="38">
        <v>600.32000000000005</v>
      </c>
      <c r="O751" s="38">
        <v>90.05</v>
      </c>
      <c r="P751" s="54">
        <v>510.27</v>
      </c>
      <c r="Q751" s="38">
        <v>263.48</v>
      </c>
      <c r="R751" s="38">
        <v>246.79</v>
      </c>
      <c r="S751" s="6">
        <v>48.4</v>
      </c>
      <c r="T751" s="4" t="s">
        <v>44</v>
      </c>
      <c r="U751" s="16">
        <v>3</v>
      </c>
    </row>
    <row r="752" spans="1:21" x14ac:dyDescent="0.3">
      <c r="A752" s="13" t="s">
        <v>1084</v>
      </c>
      <c r="B752" s="45">
        <v>45568</v>
      </c>
      <c r="C752" s="1" t="s">
        <v>1072</v>
      </c>
      <c r="D752" s="41" t="s">
        <v>1376</v>
      </c>
      <c r="E752" s="1">
        <v>2024</v>
      </c>
      <c r="F752" s="1" t="s">
        <v>29</v>
      </c>
      <c r="G752" s="60" t="s">
        <v>54</v>
      </c>
      <c r="H752" s="2" t="s">
        <v>59</v>
      </c>
      <c r="I752" s="2" t="s">
        <v>47</v>
      </c>
      <c r="J752" s="2" t="s">
        <v>777</v>
      </c>
      <c r="K752" s="1">
        <v>12</v>
      </c>
      <c r="L752" s="37">
        <v>458.12</v>
      </c>
      <c r="M752" s="3">
        <v>10</v>
      </c>
      <c r="N752" s="37">
        <v>5497.44</v>
      </c>
      <c r="O752" s="37">
        <v>549.74</v>
      </c>
      <c r="P752" s="53">
        <v>4947.7</v>
      </c>
      <c r="Q752" s="37">
        <v>1833.93</v>
      </c>
      <c r="R752" s="37">
        <v>3113.77</v>
      </c>
      <c r="S752" s="3">
        <v>62.9</v>
      </c>
      <c r="T752" s="1" t="s">
        <v>44</v>
      </c>
      <c r="U752" s="15">
        <v>2</v>
      </c>
    </row>
    <row r="753" spans="1:21" x14ac:dyDescent="0.3">
      <c r="A753" s="14" t="s">
        <v>1085</v>
      </c>
      <c r="B753" s="46">
        <v>45568</v>
      </c>
      <c r="C753" s="4" t="s">
        <v>1072</v>
      </c>
      <c r="D753" s="42" t="s">
        <v>1376</v>
      </c>
      <c r="E753" s="4">
        <v>2024</v>
      </c>
      <c r="F753" s="4" t="s">
        <v>41</v>
      </c>
      <c r="G753" s="61" t="s">
        <v>66</v>
      </c>
      <c r="H753" s="5" t="s">
        <v>24</v>
      </c>
      <c r="I753" s="5" t="s">
        <v>55</v>
      </c>
      <c r="J753" s="5" t="s">
        <v>260</v>
      </c>
      <c r="K753" s="4">
        <v>11</v>
      </c>
      <c r="L753" s="38">
        <v>808.18</v>
      </c>
      <c r="M753" s="6">
        <v>15</v>
      </c>
      <c r="N753" s="38">
        <v>8889.98</v>
      </c>
      <c r="O753" s="38">
        <v>1333.5</v>
      </c>
      <c r="P753" s="54">
        <v>7556.48</v>
      </c>
      <c r="Q753" s="38">
        <v>2996.2</v>
      </c>
      <c r="R753" s="38">
        <v>4560.28</v>
      </c>
      <c r="S753" s="6">
        <v>60.3</v>
      </c>
      <c r="T753" s="4" t="s">
        <v>44</v>
      </c>
      <c r="U753" s="16">
        <v>1</v>
      </c>
    </row>
    <row r="754" spans="1:21" x14ac:dyDescent="0.3">
      <c r="A754" s="13" t="s">
        <v>1086</v>
      </c>
      <c r="B754" s="45">
        <v>45568</v>
      </c>
      <c r="C754" s="1" t="s">
        <v>1072</v>
      </c>
      <c r="D754" s="41" t="s">
        <v>1376</v>
      </c>
      <c r="E754" s="1">
        <v>2024</v>
      </c>
      <c r="F754" s="1" t="s">
        <v>29</v>
      </c>
      <c r="G754" s="60" t="s">
        <v>46</v>
      </c>
      <c r="H754" s="2" t="s">
        <v>59</v>
      </c>
      <c r="I754" s="2" t="s">
        <v>75</v>
      </c>
      <c r="J754" s="2" t="s">
        <v>741</v>
      </c>
      <c r="K754" s="1">
        <v>6</v>
      </c>
      <c r="L754" s="37">
        <v>30.9</v>
      </c>
      <c r="M754" s="3">
        <v>0</v>
      </c>
      <c r="N754" s="37">
        <v>185.4</v>
      </c>
      <c r="O754" s="37">
        <v>0</v>
      </c>
      <c r="P754" s="53">
        <v>185.4</v>
      </c>
      <c r="Q754" s="37">
        <v>81.34</v>
      </c>
      <c r="R754" s="37">
        <v>104.06</v>
      </c>
      <c r="S754" s="3">
        <v>56.1</v>
      </c>
      <c r="T754" s="1" t="s">
        <v>33</v>
      </c>
      <c r="U754" s="15">
        <v>2</v>
      </c>
    </row>
    <row r="755" spans="1:21" x14ac:dyDescent="0.3">
      <c r="A755" s="14" t="s">
        <v>1087</v>
      </c>
      <c r="B755" s="46">
        <v>45568</v>
      </c>
      <c r="C755" s="4" t="s">
        <v>1072</v>
      </c>
      <c r="D755" s="42" t="s">
        <v>1376</v>
      </c>
      <c r="E755" s="4">
        <v>2024</v>
      </c>
      <c r="F755" s="4" t="s">
        <v>22</v>
      </c>
      <c r="G755" s="61" t="s">
        <v>30</v>
      </c>
      <c r="H755" s="5" t="s">
        <v>59</v>
      </c>
      <c r="I755" s="5" t="s">
        <v>55</v>
      </c>
      <c r="J755" s="5" t="s">
        <v>791</v>
      </c>
      <c r="K755" s="4">
        <v>3</v>
      </c>
      <c r="L755" s="38">
        <v>662.04</v>
      </c>
      <c r="M755" s="6">
        <v>0</v>
      </c>
      <c r="N755" s="38">
        <v>1986.12</v>
      </c>
      <c r="O755" s="38">
        <v>0</v>
      </c>
      <c r="P755" s="54">
        <v>1986.12</v>
      </c>
      <c r="Q755" s="38">
        <v>852.05</v>
      </c>
      <c r="R755" s="38">
        <v>1134.07</v>
      </c>
      <c r="S755" s="6">
        <v>57.1</v>
      </c>
      <c r="T755" s="4" t="s">
        <v>44</v>
      </c>
      <c r="U755" s="16">
        <v>3</v>
      </c>
    </row>
    <row r="756" spans="1:21" x14ac:dyDescent="0.3">
      <c r="A756" s="13" t="s">
        <v>1088</v>
      </c>
      <c r="B756" s="45">
        <v>45569</v>
      </c>
      <c r="C756" s="1" t="s">
        <v>1072</v>
      </c>
      <c r="D756" s="41" t="s">
        <v>1376</v>
      </c>
      <c r="E756" s="1">
        <v>2024</v>
      </c>
      <c r="F756" s="1" t="s">
        <v>35</v>
      </c>
      <c r="G756" s="60" t="s">
        <v>23</v>
      </c>
      <c r="H756" s="2" t="s">
        <v>37</v>
      </c>
      <c r="I756" s="2" t="s">
        <v>31</v>
      </c>
      <c r="J756" s="2" t="s">
        <v>324</v>
      </c>
      <c r="K756" s="1">
        <v>11</v>
      </c>
      <c r="L756" s="37">
        <v>91.1</v>
      </c>
      <c r="M756" s="3">
        <v>0</v>
      </c>
      <c r="N756" s="37">
        <v>1002.1</v>
      </c>
      <c r="O756" s="37">
        <v>0</v>
      </c>
      <c r="P756" s="53">
        <v>1002.1</v>
      </c>
      <c r="Q756" s="37">
        <v>461.1</v>
      </c>
      <c r="R756" s="37">
        <v>541</v>
      </c>
      <c r="S756" s="3">
        <v>54</v>
      </c>
      <c r="T756" s="1" t="s">
        <v>44</v>
      </c>
      <c r="U756" s="15">
        <v>3</v>
      </c>
    </row>
    <row r="757" spans="1:21" x14ac:dyDescent="0.3">
      <c r="A757" s="14" t="s">
        <v>1089</v>
      </c>
      <c r="B757" s="46">
        <v>45569</v>
      </c>
      <c r="C757" s="4" t="s">
        <v>1072</v>
      </c>
      <c r="D757" s="42" t="s">
        <v>1376</v>
      </c>
      <c r="E757" s="4">
        <v>2024</v>
      </c>
      <c r="F757" s="4" t="s">
        <v>41</v>
      </c>
      <c r="G757" s="61" t="s">
        <v>46</v>
      </c>
      <c r="H757" s="5" t="s">
        <v>59</v>
      </c>
      <c r="I757" s="5" t="s">
        <v>75</v>
      </c>
      <c r="J757" s="5" t="s">
        <v>659</v>
      </c>
      <c r="K757" s="4">
        <v>15</v>
      </c>
      <c r="L757" s="38">
        <v>31.27</v>
      </c>
      <c r="M757" s="6">
        <v>10</v>
      </c>
      <c r="N757" s="38">
        <v>469.05</v>
      </c>
      <c r="O757" s="38">
        <v>46.91</v>
      </c>
      <c r="P757" s="54">
        <v>422.14</v>
      </c>
      <c r="Q757" s="38">
        <v>147.84</v>
      </c>
      <c r="R757" s="38">
        <v>274.3</v>
      </c>
      <c r="S757" s="6">
        <v>65</v>
      </c>
      <c r="T757" s="4" t="s">
        <v>44</v>
      </c>
      <c r="U757" s="16">
        <v>2</v>
      </c>
    </row>
    <row r="758" spans="1:21" x14ac:dyDescent="0.3">
      <c r="A758" s="13" t="s">
        <v>1090</v>
      </c>
      <c r="B758" s="45">
        <v>45570</v>
      </c>
      <c r="C758" s="1" t="s">
        <v>1072</v>
      </c>
      <c r="D758" s="41" t="s">
        <v>1376</v>
      </c>
      <c r="E758" s="1">
        <v>2024</v>
      </c>
      <c r="F758" s="1" t="s">
        <v>53</v>
      </c>
      <c r="G758" s="60" t="s">
        <v>42</v>
      </c>
      <c r="H758" s="2" t="s">
        <v>37</v>
      </c>
      <c r="I758" s="2" t="s">
        <v>25</v>
      </c>
      <c r="J758" s="2" t="s">
        <v>296</v>
      </c>
      <c r="K758" s="1">
        <v>1</v>
      </c>
      <c r="L758" s="37">
        <v>111.11</v>
      </c>
      <c r="M758" s="3">
        <v>15</v>
      </c>
      <c r="N758" s="37">
        <v>111.11</v>
      </c>
      <c r="O758" s="37">
        <v>16.670000000000002</v>
      </c>
      <c r="P758" s="53">
        <v>94.44</v>
      </c>
      <c r="Q758" s="37">
        <v>51.13</v>
      </c>
      <c r="R758" s="37">
        <v>43.31</v>
      </c>
      <c r="S758" s="3">
        <v>45.9</v>
      </c>
      <c r="T758" s="1" t="s">
        <v>44</v>
      </c>
      <c r="U758" s="15">
        <v>3</v>
      </c>
    </row>
    <row r="759" spans="1:21" x14ac:dyDescent="0.3">
      <c r="A759" s="14" t="s">
        <v>1091</v>
      </c>
      <c r="B759" s="46">
        <v>45571</v>
      </c>
      <c r="C759" s="4" t="s">
        <v>1072</v>
      </c>
      <c r="D759" s="42" t="s">
        <v>1376</v>
      </c>
      <c r="E759" s="4">
        <v>2024</v>
      </c>
      <c r="F759" s="4" t="s">
        <v>41</v>
      </c>
      <c r="G759" s="61" t="s">
        <v>30</v>
      </c>
      <c r="H759" s="5" t="s">
        <v>50</v>
      </c>
      <c r="I759" s="5" t="s">
        <v>75</v>
      </c>
      <c r="J759" s="5" t="s">
        <v>177</v>
      </c>
      <c r="K759" s="4">
        <v>9</v>
      </c>
      <c r="L759" s="38">
        <v>225.9</v>
      </c>
      <c r="M759" s="6">
        <v>0</v>
      </c>
      <c r="N759" s="38">
        <v>2033.1</v>
      </c>
      <c r="O759" s="38">
        <v>0</v>
      </c>
      <c r="P759" s="54">
        <v>2033.1</v>
      </c>
      <c r="Q759" s="38">
        <v>942.78</v>
      </c>
      <c r="R759" s="38">
        <v>1090.32</v>
      </c>
      <c r="S759" s="6">
        <v>53.6</v>
      </c>
      <c r="T759" s="4" t="s">
        <v>44</v>
      </c>
      <c r="U759" s="16">
        <v>1</v>
      </c>
    </row>
    <row r="760" spans="1:21" x14ac:dyDescent="0.3">
      <c r="A760" s="13" t="s">
        <v>1092</v>
      </c>
      <c r="B760" s="45">
        <v>45571</v>
      </c>
      <c r="C760" s="1" t="s">
        <v>1072</v>
      </c>
      <c r="D760" s="41" t="s">
        <v>1376</v>
      </c>
      <c r="E760" s="1">
        <v>2024</v>
      </c>
      <c r="F760" s="1" t="s">
        <v>22</v>
      </c>
      <c r="G760" s="60" t="s">
        <v>30</v>
      </c>
      <c r="H760" s="2" t="s">
        <v>59</v>
      </c>
      <c r="I760" s="2" t="s">
        <v>25</v>
      </c>
      <c r="J760" s="2" t="s">
        <v>273</v>
      </c>
      <c r="K760" s="1">
        <v>7</v>
      </c>
      <c r="L760" s="37">
        <v>50.14</v>
      </c>
      <c r="M760" s="3">
        <v>15</v>
      </c>
      <c r="N760" s="37">
        <v>350.98</v>
      </c>
      <c r="O760" s="37">
        <v>52.65</v>
      </c>
      <c r="P760" s="53">
        <v>298.33</v>
      </c>
      <c r="Q760" s="37">
        <v>121.02</v>
      </c>
      <c r="R760" s="37">
        <v>177.31</v>
      </c>
      <c r="S760" s="3">
        <v>59.4</v>
      </c>
      <c r="T760" s="1" t="s">
        <v>44</v>
      </c>
      <c r="U760" s="15">
        <v>1</v>
      </c>
    </row>
    <row r="761" spans="1:21" x14ac:dyDescent="0.3">
      <c r="A761" s="14" t="s">
        <v>1093</v>
      </c>
      <c r="B761" s="46">
        <v>45571</v>
      </c>
      <c r="C761" s="4" t="s">
        <v>1072</v>
      </c>
      <c r="D761" s="42" t="s">
        <v>1376</v>
      </c>
      <c r="E761" s="4">
        <v>2024</v>
      </c>
      <c r="F761" s="4" t="s">
        <v>29</v>
      </c>
      <c r="G761" s="61" t="s">
        <v>54</v>
      </c>
      <c r="H761" s="5" t="s">
        <v>59</v>
      </c>
      <c r="I761" s="5" t="s">
        <v>55</v>
      </c>
      <c r="J761" s="5" t="s">
        <v>901</v>
      </c>
      <c r="K761" s="4">
        <v>8</v>
      </c>
      <c r="L761" s="38">
        <v>627.54999999999995</v>
      </c>
      <c r="M761" s="6">
        <v>0</v>
      </c>
      <c r="N761" s="38">
        <v>5020.3999999999996</v>
      </c>
      <c r="O761" s="38">
        <v>0</v>
      </c>
      <c r="P761" s="54">
        <v>5020.3999999999996</v>
      </c>
      <c r="Q761" s="38">
        <v>1785.33</v>
      </c>
      <c r="R761" s="38">
        <v>3235.07</v>
      </c>
      <c r="S761" s="6">
        <v>64.400000000000006</v>
      </c>
      <c r="T761" s="4" t="s">
        <v>44</v>
      </c>
      <c r="U761" s="16">
        <v>3</v>
      </c>
    </row>
    <row r="762" spans="1:21" x14ac:dyDescent="0.3">
      <c r="A762" s="13" t="s">
        <v>1094</v>
      </c>
      <c r="B762" s="45">
        <v>45571</v>
      </c>
      <c r="C762" s="1" t="s">
        <v>1072</v>
      </c>
      <c r="D762" s="41" t="s">
        <v>1376</v>
      </c>
      <c r="E762" s="1">
        <v>2024</v>
      </c>
      <c r="F762" s="1" t="s">
        <v>41</v>
      </c>
      <c r="G762" s="60" t="s">
        <v>23</v>
      </c>
      <c r="H762" s="2" t="s">
        <v>37</v>
      </c>
      <c r="I762" s="2" t="s">
        <v>75</v>
      </c>
      <c r="J762" s="2" t="s">
        <v>278</v>
      </c>
      <c r="K762" s="1">
        <v>3</v>
      </c>
      <c r="L762" s="37">
        <v>286.7</v>
      </c>
      <c r="M762" s="3">
        <v>15</v>
      </c>
      <c r="N762" s="37">
        <v>860.1</v>
      </c>
      <c r="O762" s="37">
        <v>129.01</v>
      </c>
      <c r="P762" s="53">
        <v>731.09</v>
      </c>
      <c r="Q762" s="37">
        <v>443.81</v>
      </c>
      <c r="R762" s="37">
        <v>287.27999999999997</v>
      </c>
      <c r="S762" s="3">
        <v>39.299999999999997</v>
      </c>
      <c r="T762" s="1" t="s">
        <v>44</v>
      </c>
      <c r="U762" s="15">
        <v>1</v>
      </c>
    </row>
    <row r="763" spans="1:21" x14ac:dyDescent="0.3">
      <c r="A763" s="14" t="s">
        <v>1095</v>
      </c>
      <c r="B763" s="46">
        <v>45572</v>
      </c>
      <c r="C763" s="4" t="s">
        <v>1072</v>
      </c>
      <c r="D763" s="42" t="s">
        <v>1376</v>
      </c>
      <c r="E763" s="4">
        <v>2024</v>
      </c>
      <c r="F763" s="4" t="s">
        <v>22</v>
      </c>
      <c r="G763" s="61" t="s">
        <v>23</v>
      </c>
      <c r="H763" s="5" t="s">
        <v>59</v>
      </c>
      <c r="I763" s="5" t="s">
        <v>47</v>
      </c>
      <c r="J763" s="5" t="s">
        <v>452</v>
      </c>
      <c r="K763" s="4">
        <v>12</v>
      </c>
      <c r="L763" s="38">
        <v>226.68</v>
      </c>
      <c r="M763" s="6">
        <v>0</v>
      </c>
      <c r="N763" s="38">
        <v>2720.16</v>
      </c>
      <c r="O763" s="38">
        <v>0</v>
      </c>
      <c r="P763" s="54">
        <v>2720.16</v>
      </c>
      <c r="Q763" s="38">
        <v>1585.32</v>
      </c>
      <c r="R763" s="38">
        <v>1134.8399999999999</v>
      </c>
      <c r="S763" s="6">
        <v>41.7</v>
      </c>
      <c r="T763" s="4" t="s">
        <v>44</v>
      </c>
      <c r="U763" s="16">
        <v>3</v>
      </c>
    </row>
    <row r="764" spans="1:21" x14ac:dyDescent="0.3">
      <c r="A764" s="13" t="s">
        <v>1096</v>
      </c>
      <c r="B764" s="45">
        <v>45572</v>
      </c>
      <c r="C764" s="1" t="s">
        <v>1072</v>
      </c>
      <c r="D764" s="41" t="s">
        <v>1376</v>
      </c>
      <c r="E764" s="1">
        <v>2024</v>
      </c>
      <c r="F764" s="1" t="s">
        <v>29</v>
      </c>
      <c r="G764" s="60" t="s">
        <v>58</v>
      </c>
      <c r="H764" s="2" t="s">
        <v>24</v>
      </c>
      <c r="I764" s="2" t="s">
        <v>38</v>
      </c>
      <c r="J764" s="2" t="s">
        <v>419</v>
      </c>
      <c r="K764" s="1">
        <v>9</v>
      </c>
      <c r="L764" s="37">
        <v>75.48</v>
      </c>
      <c r="M764" s="3">
        <v>15</v>
      </c>
      <c r="N764" s="37">
        <v>679.32</v>
      </c>
      <c r="O764" s="37">
        <v>101.9</v>
      </c>
      <c r="P764" s="53">
        <v>577.41999999999996</v>
      </c>
      <c r="Q764" s="37">
        <v>243.46</v>
      </c>
      <c r="R764" s="37">
        <v>333.96</v>
      </c>
      <c r="S764" s="3">
        <v>57.8</v>
      </c>
      <c r="T764" s="1" t="s">
        <v>44</v>
      </c>
      <c r="U764" s="15">
        <v>2</v>
      </c>
    </row>
    <row r="765" spans="1:21" x14ac:dyDescent="0.3">
      <c r="A765" s="14" t="s">
        <v>1097</v>
      </c>
      <c r="B765" s="46">
        <v>45573</v>
      </c>
      <c r="C765" s="4" t="s">
        <v>1072</v>
      </c>
      <c r="D765" s="42" t="s">
        <v>1376</v>
      </c>
      <c r="E765" s="4">
        <v>2024</v>
      </c>
      <c r="F765" s="4" t="s">
        <v>35</v>
      </c>
      <c r="G765" s="61" t="s">
        <v>30</v>
      </c>
      <c r="H765" s="5" t="s">
        <v>37</v>
      </c>
      <c r="I765" s="5" t="s">
        <v>47</v>
      </c>
      <c r="J765" s="5" t="s">
        <v>595</v>
      </c>
      <c r="K765" s="4">
        <v>4</v>
      </c>
      <c r="L765" s="38">
        <v>106.05</v>
      </c>
      <c r="M765" s="6">
        <v>15</v>
      </c>
      <c r="N765" s="38">
        <v>424.2</v>
      </c>
      <c r="O765" s="38">
        <v>63.63</v>
      </c>
      <c r="P765" s="54">
        <v>360.57</v>
      </c>
      <c r="Q765" s="38">
        <v>204.19</v>
      </c>
      <c r="R765" s="38">
        <v>156.38</v>
      </c>
      <c r="S765" s="6">
        <v>43.4</v>
      </c>
      <c r="T765" s="4" t="s">
        <v>33</v>
      </c>
      <c r="U765" s="16">
        <v>4</v>
      </c>
    </row>
    <row r="766" spans="1:21" x14ac:dyDescent="0.3">
      <c r="A766" s="13" t="s">
        <v>1098</v>
      </c>
      <c r="B766" s="45">
        <v>45573</v>
      </c>
      <c r="C766" s="1" t="s">
        <v>1072</v>
      </c>
      <c r="D766" s="41" t="s">
        <v>1376</v>
      </c>
      <c r="E766" s="1">
        <v>2024</v>
      </c>
      <c r="F766" s="1" t="s">
        <v>22</v>
      </c>
      <c r="G766" s="60" t="s">
        <v>54</v>
      </c>
      <c r="H766" s="2" t="s">
        <v>37</v>
      </c>
      <c r="I766" s="2" t="s">
        <v>31</v>
      </c>
      <c r="J766" s="2" t="s">
        <v>760</v>
      </c>
      <c r="K766" s="1">
        <v>1</v>
      </c>
      <c r="L766" s="37">
        <v>184.84</v>
      </c>
      <c r="M766" s="3">
        <v>0</v>
      </c>
      <c r="N766" s="37">
        <v>184.84</v>
      </c>
      <c r="O766" s="37">
        <v>0</v>
      </c>
      <c r="P766" s="53">
        <v>184.84</v>
      </c>
      <c r="Q766" s="37">
        <v>101.2</v>
      </c>
      <c r="R766" s="37">
        <v>83.64</v>
      </c>
      <c r="S766" s="3">
        <v>45.2</v>
      </c>
      <c r="T766" s="1" t="s">
        <v>44</v>
      </c>
      <c r="U766" s="15">
        <v>5</v>
      </c>
    </row>
    <row r="767" spans="1:21" x14ac:dyDescent="0.3">
      <c r="A767" s="14" t="s">
        <v>1099</v>
      </c>
      <c r="B767" s="46">
        <v>45573</v>
      </c>
      <c r="C767" s="4" t="s">
        <v>1072</v>
      </c>
      <c r="D767" s="42" t="s">
        <v>1376</v>
      </c>
      <c r="E767" s="4">
        <v>2024</v>
      </c>
      <c r="F767" s="4" t="s">
        <v>53</v>
      </c>
      <c r="G767" s="61" t="s">
        <v>30</v>
      </c>
      <c r="H767" s="5" t="s">
        <v>50</v>
      </c>
      <c r="I767" s="5" t="s">
        <v>47</v>
      </c>
      <c r="J767" s="5" t="s">
        <v>525</v>
      </c>
      <c r="K767" s="4">
        <v>2</v>
      </c>
      <c r="L767" s="38">
        <v>271.7</v>
      </c>
      <c r="M767" s="6">
        <v>10</v>
      </c>
      <c r="N767" s="38">
        <v>543.4</v>
      </c>
      <c r="O767" s="38">
        <v>54.34</v>
      </c>
      <c r="P767" s="54">
        <v>489.06</v>
      </c>
      <c r="Q767" s="38">
        <v>250.25</v>
      </c>
      <c r="R767" s="38">
        <v>238.81</v>
      </c>
      <c r="S767" s="6">
        <v>48.8</v>
      </c>
      <c r="T767" s="4" t="s">
        <v>27</v>
      </c>
      <c r="U767" s="16">
        <v>3</v>
      </c>
    </row>
    <row r="768" spans="1:21" x14ac:dyDescent="0.3">
      <c r="A768" s="13" t="s">
        <v>1100</v>
      </c>
      <c r="B768" s="45">
        <v>45574</v>
      </c>
      <c r="C768" s="1" t="s">
        <v>1072</v>
      </c>
      <c r="D768" s="41" t="s">
        <v>1376</v>
      </c>
      <c r="E768" s="1">
        <v>2024</v>
      </c>
      <c r="F768" s="1" t="s">
        <v>41</v>
      </c>
      <c r="G768" s="60" t="s">
        <v>122</v>
      </c>
      <c r="H768" s="2" t="s">
        <v>59</v>
      </c>
      <c r="I768" s="2" t="s">
        <v>31</v>
      </c>
      <c r="J768" s="2" t="s">
        <v>994</v>
      </c>
      <c r="K768" s="1">
        <v>13</v>
      </c>
      <c r="L768" s="37">
        <v>59.58</v>
      </c>
      <c r="M768" s="3">
        <v>10</v>
      </c>
      <c r="N768" s="37">
        <v>774.54</v>
      </c>
      <c r="O768" s="37">
        <v>77.45</v>
      </c>
      <c r="P768" s="53">
        <v>697.09</v>
      </c>
      <c r="Q768" s="37">
        <v>325.02</v>
      </c>
      <c r="R768" s="37">
        <v>372.07</v>
      </c>
      <c r="S768" s="3">
        <v>53.4</v>
      </c>
      <c r="T768" s="1" t="s">
        <v>44</v>
      </c>
      <c r="U768" s="15">
        <v>2</v>
      </c>
    </row>
    <row r="769" spans="1:21" x14ac:dyDescent="0.3">
      <c r="A769" s="14" t="s">
        <v>1101</v>
      </c>
      <c r="B769" s="46">
        <v>45574</v>
      </c>
      <c r="C769" s="4" t="s">
        <v>1072</v>
      </c>
      <c r="D769" s="42" t="s">
        <v>1376</v>
      </c>
      <c r="E769" s="4">
        <v>2024</v>
      </c>
      <c r="F769" s="4" t="s">
        <v>22</v>
      </c>
      <c r="G769" s="61" t="s">
        <v>36</v>
      </c>
      <c r="H769" s="5" t="s">
        <v>24</v>
      </c>
      <c r="I769" s="5" t="s">
        <v>55</v>
      </c>
      <c r="J769" s="5" t="s">
        <v>104</v>
      </c>
      <c r="K769" s="4">
        <v>15</v>
      </c>
      <c r="L769" s="38">
        <v>762.75</v>
      </c>
      <c r="M769" s="6">
        <v>15</v>
      </c>
      <c r="N769" s="38">
        <v>11441.25</v>
      </c>
      <c r="O769" s="38">
        <v>1716.19</v>
      </c>
      <c r="P769" s="54">
        <v>9725.06</v>
      </c>
      <c r="Q769" s="38">
        <v>4932.75</v>
      </c>
      <c r="R769" s="38">
        <v>4792.3100000000004</v>
      </c>
      <c r="S769" s="6">
        <v>49.3</v>
      </c>
      <c r="T769" s="4" t="s">
        <v>33</v>
      </c>
      <c r="U769" s="16">
        <v>5</v>
      </c>
    </row>
    <row r="770" spans="1:21" x14ac:dyDescent="0.3">
      <c r="A770" s="13" t="s">
        <v>1102</v>
      </c>
      <c r="B770" s="45">
        <v>45574</v>
      </c>
      <c r="C770" s="1" t="s">
        <v>1072</v>
      </c>
      <c r="D770" s="41" t="s">
        <v>1376</v>
      </c>
      <c r="E770" s="1">
        <v>2024</v>
      </c>
      <c r="F770" s="1" t="s">
        <v>29</v>
      </c>
      <c r="G770" s="60" t="s">
        <v>122</v>
      </c>
      <c r="H770" s="2" t="s">
        <v>50</v>
      </c>
      <c r="I770" s="2" t="s">
        <v>25</v>
      </c>
      <c r="J770" s="2" t="s">
        <v>1103</v>
      </c>
      <c r="K770" s="1">
        <v>14</v>
      </c>
      <c r="L770" s="37">
        <v>45.34</v>
      </c>
      <c r="M770" s="3">
        <v>15</v>
      </c>
      <c r="N770" s="37">
        <v>634.76</v>
      </c>
      <c r="O770" s="37">
        <v>95.21</v>
      </c>
      <c r="P770" s="53">
        <v>539.54999999999995</v>
      </c>
      <c r="Q770" s="37">
        <v>269.38</v>
      </c>
      <c r="R770" s="37">
        <v>270.17</v>
      </c>
      <c r="S770" s="3">
        <v>50.1</v>
      </c>
      <c r="T770" s="1" t="s">
        <v>44</v>
      </c>
      <c r="U770" s="15">
        <v>1</v>
      </c>
    </row>
    <row r="771" spans="1:21" x14ac:dyDescent="0.3">
      <c r="A771" s="14" t="s">
        <v>1104</v>
      </c>
      <c r="B771" s="46">
        <v>45574</v>
      </c>
      <c r="C771" s="4" t="s">
        <v>1072</v>
      </c>
      <c r="D771" s="42" t="s">
        <v>1376</v>
      </c>
      <c r="E771" s="4">
        <v>2024</v>
      </c>
      <c r="F771" s="4" t="s">
        <v>29</v>
      </c>
      <c r="G771" s="61" t="s">
        <v>36</v>
      </c>
      <c r="H771" s="5" t="s">
        <v>59</v>
      </c>
      <c r="I771" s="5" t="s">
        <v>38</v>
      </c>
      <c r="J771" s="5" t="s">
        <v>315</v>
      </c>
      <c r="K771" s="4">
        <v>6</v>
      </c>
      <c r="L771" s="38">
        <v>31.58</v>
      </c>
      <c r="M771" s="6">
        <v>0</v>
      </c>
      <c r="N771" s="38">
        <v>189.48</v>
      </c>
      <c r="O771" s="38">
        <v>0</v>
      </c>
      <c r="P771" s="54">
        <v>189.48</v>
      </c>
      <c r="Q771" s="38">
        <v>97.67</v>
      </c>
      <c r="R771" s="38">
        <v>91.81</v>
      </c>
      <c r="S771" s="6">
        <v>48.5</v>
      </c>
      <c r="T771" s="4" t="s">
        <v>44</v>
      </c>
      <c r="U771" s="16">
        <v>4</v>
      </c>
    </row>
    <row r="772" spans="1:21" x14ac:dyDescent="0.3">
      <c r="A772" s="13" t="s">
        <v>1105</v>
      </c>
      <c r="B772" s="45">
        <v>45575</v>
      </c>
      <c r="C772" s="1" t="s">
        <v>1072</v>
      </c>
      <c r="D772" s="41" t="s">
        <v>1376</v>
      </c>
      <c r="E772" s="1">
        <v>2024</v>
      </c>
      <c r="F772" s="1" t="s">
        <v>53</v>
      </c>
      <c r="G772" s="60" t="s">
        <v>58</v>
      </c>
      <c r="H772" s="2" t="s">
        <v>50</v>
      </c>
      <c r="I772" s="2" t="s">
        <v>55</v>
      </c>
      <c r="J772" s="2" t="s">
        <v>197</v>
      </c>
      <c r="K772" s="1">
        <v>14</v>
      </c>
      <c r="L772" s="37">
        <v>964.18</v>
      </c>
      <c r="M772" s="3">
        <v>15</v>
      </c>
      <c r="N772" s="37">
        <v>13498.52</v>
      </c>
      <c r="O772" s="37">
        <v>2024.78</v>
      </c>
      <c r="P772" s="53">
        <v>11473.74</v>
      </c>
      <c r="Q772" s="37">
        <v>6125.96</v>
      </c>
      <c r="R772" s="37">
        <v>5347.78</v>
      </c>
      <c r="S772" s="3">
        <v>46.6</v>
      </c>
      <c r="T772" s="1" t="s">
        <v>33</v>
      </c>
      <c r="U772" s="15">
        <v>3</v>
      </c>
    </row>
    <row r="773" spans="1:21" x14ac:dyDescent="0.3">
      <c r="A773" s="14" t="s">
        <v>1106</v>
      </c>
      <c r="B773" s="46">
        <v>45575</v>
      </c>
      <c r="C773" s="4" t="s">
        <v>1072</v>
      </c>
      <c r="D773" s="42" t="s">
        <v>1376</v>
      </c>
      <c r="E773" s="4">
        <v>2024</v>
      </c>
      <c r="F773" s="4" t="s">
        <v>41</v>
      </c>
      <c r="G773" s="61" t="s">
        <v>23</v>
      </c>
      <c r="H773" s="5" t="s">
        <v>59</v>
      </c>
      <c r="I773" s="5" t="s">
        <v>25</v>
      </c>
      <c r="J773" s="5" t="s">
        <v>216</v>
      </c>
      <c r="K773" s="4">
        <v>16</v>
      </c>
      <c r="L773" s="38">
        <v>21.06</v>
      </c>
      <c r="M773" s="6">
        <v>0</v>
      </c>
      <c r="N773" s="38">
        <v>336.96</v>
      </c>
      <c r="O773" s="38">
        <v>0</v>
      </c>
      <c r="P773" s="54">
        <v>336.96</v>
      </c>
      <c r="Q773" s="38">
        <v>150.55000000000001</v>
      </c>
      <c r="R773" s="38">
        <v>186.41</v>
      </c>
      <c r="S773" s="6">
        <v>55.3</v>
      </c>
      <c r="T773" s="4" t="s">
        <v>44</v>
      </c>
      <c r="U773" s="16">
        <v>5</v>
      </c>
    </row>
    <row r="774" spans="1:21" x14ac:dyDescent="0.3">
      <c r="A774" s="13" t="s">
        <v>1107</v>
      </c>
      <c r="B774" s="45">
        <v>45575</v>
      </c>
      <c r="C774" s="1" t="s">
        <v>1072</v>
      </c>
      <c r="D774" s="41" t="s">
        <v>1376</v>
      </c>
      <c r="E774" s="1">
        <v>2024</v>
      </c>
      <c r="F774" s="1" t="s">
        <v>29</v>
      </c>
      <c r="G774" s="60" t="s">
        <v>30</v>
      </c>
      <c r="H774" s="2" t="s">
        <v>24</v>
      </c>
      <c r="I774" s="2" t="s">
        <v>25</v>
      </c>
      <c r="J774" s="2" t="s">
        <v>294</v>
      </c>
      <c r="K774" s="1">
        <v>13</v>
      </c>
      <c r="L774" s="37">
        <v>144.30000000000001</v>
      </c>
      <c r="M774" s="3">
        <v>20</v>
      </c>
      <c r="N774" s="37">
        <v>1875.9</v>
      </c>
      <c r="O774" s="37">
        <v>375.18</v>
      </c>
      <c r="P774" s="53">
        <v>1500.72</v>
      </c>
      <c r="Q774" s="37">
        <v>813.8</v>
      </c>
      <c r="R774" s="37">
        <v>686.92</v>
      </c>
      <c r="S774" s="3">
        <v>45.8</v>
      </c>
      <c r="T774" s="1" t="s">
        <v>44</v>
      </c>
      <c r="U774" s="15">
        <v>2</v>
      </c>
    </row>
    <row r="775" spans="1:21" x14ac:dyDescent="0.3">
      <c r="A775" s="14" t="s">
        <v>1108</v>
      </c>
      <c r="B775" s="46">
        <v>45575</v>
      </c>
      <c r="C775" s="4" t="s">
        <v>1072</v>
      </c>
      <c r="D775" s="42" t="s">
        <v>1376</v>
      </c>
      <c r="E775" s="4">
        <v>2024</v>
      </c>
      <c r="F775" s="4" t="s">
        <v>29</v>
      </c>
      <c r="G775" s="61" t="s">
        <v>36</v>
      </c>
      <c r="H775" s="5" t="s">
        <v>50</v>
      </c>
      <c r="I775" s="5" t="s">
        <v>31</v>
      </c>
      <c r="J775" s="5" t="s">
        <v>51</v>
      </c>
      <c r="K775" s="4">
        <v>12</v>
      </c>
      <c r="L775" s="38">
        <v>99.91</v>
      </c>
      <c r="M775" s="6">
        <v>0</v>
      </c>
      <c r="N775" s="38">
        <v>1198.92</v>
      </c>
      <c r="O775" s="38">
        <v>0</v>
      </c>
      <c r="P775" s="54">
        <v>1198.92</v>
      </c>
      <c r="Q775" s="38">
        <v>459.35</v>
      </c>
      <c r="R775" s="38">
        <v>739.57</v>
      </c>
      <c r="S775" s="6">
        <v>61.7</v>
      </c>
      <c r="T775" s="4" t="s">
        <v>44</v>
      </c>
      <c r="U775" s="16">
        <v>5</v>
      </c>
    </row>
    <row r="776" spans="1:21" x14ac:dyDescent="0.3">
      <c r="A776" s="13" t="s">
        <v>1109</v>
      </c>
      <c r="B776" s="45">
        <v>45575</v>
      </c>
      <c r="C776" s="1" t="s">
        <v>1072</v>
      </c>
      <c r="D776" s="41" t="s">
        <v>1376</v>
      </c>
      <c r="E776" s="1">
        <v>2024</v>
      </c>
      <c r="F776" s="1" t="s">
        <v>29</v>
      </c>
      <c r="G776" s="60" t="s">
        <v>23</v>
      </c>
      <c r="H776" s="2" t="s">
        <v>37</v>
      </c>
      <c r="I776" s="2" t="s">
        <v>47</v>
      </c>
      <c r="J776" s="2" t="s">
        <v>515</v>
      </c>
      <c r="K776" s="1">
        <v>18</v>
      </c>
      <c r="L776" s="37">
        <v>136.74</v>
      </c>
      <c r="M776" s="3">
        <v>10</v>
      </c>
      <c r="N776" s="37">
        <v>2461.3200000000002</v>
      </c>
      <c r="O776" s="37">
        <v>246.13</v>
      </c>
      <c r="P776" s="53">
        <v>2215.19</v>
      </c>
      <c r="Q776" s="37">
        <v>1123.01</v>
      </c>
      <c r="R776" s="37">
        <v>1092.18</v>
      </c>
      <c r="S776" s="3">
        <v>49.3</v>
      </c>
      <c r="T776" s="1" t="s">
        <v>44</v>
      </c>
      <c r="U776" s="15">
        <v>2</v>
      </c>
    </row>
    <row r="777" spans="1:21" x14ac:dyDescent="0.3">
      <c r="A777" s="14" t="s">
        <v>1110</v>
      </c>
      <c r="B777" s="46">
        <v>45575</v>
      </c>
      <c r="C777" s="4" t="s">
        <v>1072</v>
      </c>
      <c r="D777" s="42" t="s">
        <v>1376</v>
      </c>
      <c r="E777" s="4">
        <v>2024</v>
      </c>
      <c r="F777" s="4" t="s">
        <v>22</v>
      </c>
      <c r="G777" s="61" t="s">
        <v>46</v>
      </c>
      <c r="H777" s="5" t="s">
        <v>50</v>
      </c>
      <c r="I777" s="5" t="s">
        <v>47</v>
      </c>
      <c r="J777" s="5" t="s">
        <v>162</v>
      </c>
      <c r="K777" s="4">
        <v>13</v>
      </c>
      <c r="L777" s="38">
        <v>354.67</v>
      </c>
      <c r="M777" s="6">
        <v>5</v>
      </c>
      <c r="N777" s="38">
        <v>4610.71</v>
      </c>
      <c r="O777" s="38">
        <v>230.54</v>
      </c>
      <c r="P777" s="54">
        <v>4380.17</v>
      </c>
      <c r="Q777" s="38">
        <v>1620.68</v>
      </c>
      <c r="R777" s="38">
        <v>2759.49</v>
      </c>
      <c r="S777" s="6">
        <v>63</v>
      </c>
      <c r="T777" s="4" t="s">
        <v>44</v>
      </c>
      <c r="U777" s="16">
        <v>1</v>
      </c>
    </row>
    <row r="778" spans="1:21" x14ac:dyDescent="0.3">
      <c r="A778" s="13" t="s">
        <v>1111</v>
      </c>
      <c r="B778" s="45">
        <v>45575</v>
      </c>
      <c r="C778" s="1" t="s">
        <v>1072</v>
      </c>
      <c r="D778" s="41" t="s">
        <v>1376</v>
      </c>
      <c r="E778" s="1">
        <v>2024</v>
      </c>
      <c r="F778" s="1" t="s">
        <v>22</v>
      </c>
      <c r="G778" s="60" t="s">
        <v>91</v>
      </c>
      <c r="H778" s="2" t="s">
        <v>59</v>
      </c>
      <c r="I778" s="2" t="s">
        <v>38</v>
      </c>
      <c r="J778" s="2" t="s">
        <v>836</v>
      </c>
      <c r="K778" s="1">
        <v>4</v>
      </c>
      <c r="L778" s="37">
        <v>27.5</v>
      </c>
      <c r="M778" s="3">
        <v>10</v>
      </c>
      <c r="N778" s="37">
        <v>110</v>
      </c>
      <c r="O778" s="37">
        <v>11</v>
      </c>
      <c r="P778" s="53">
        <v>99</v>
      </c>
      <c r="Q778" s="37">
        <v>59.46</v>
      </c>
      <c r="R778" s="37">
        <v>39.54</v>
      </c>
      <c r="S778" s="3">
        <v>39.9</v>
      </c>
      <c r="T778" s="1" t="s">
        <v>44</v>
      </c>
      <c r="U778" s="15">
        <v>5</v>
      </c>
    </row>
    <row r="779" spans="1:21" x14ac:dyDescent="0.3">
      <c r="A779" s="14" t="s">
        <v>1112</v>
      </c>
      <c r="B779" s="46">
        <v>45576</v>
      </c>
      <c r="C779" s="4" t="s">
        <v>1072</v>
      </c>
      <c r="D779" s="42" t="s">
        <v>1376</v>
      </c>
      <c r="E779" s="4">
        <v>2024</v>
      </c>
      <c r="F779" s="4" t="s">
        <v>41</v>
      </c>
      <c r="G779" s="61" t="s">
        <v>58</v>
      </c>
      <c r="H779" s="5" t="s">
        <v>24</v>
      </c>
      <c r="I779" s="5" t="s">
        <v>38</v>
      </c>
      <c r="J779" s="5" t="s">
        <v>443</v>
      </c>
      <c r="K779" s="4">
        <v>16</v>
      </c>
      <c r="L779" s="38">
        <v>67.099999999999994</v>
      </c>
      <c r="M779" s="6">
        <v>10</v>
      </c>
      <c r="N779" s="38">
        <v>1073.5999999999999</v>
      </c>
      <c r="O779" s="38">
        <v>107.36</v>
      </c>
      <c r="P779" s="54">
        <v>966.24</v>
      </c>
      <c r="Q779" s="38">
        <v>375.8</v>
      </c>
      <c r="R779" s="38">
        <v>590.44000000000005</v>
      </c>
      <c r="S779" s="6">
        <v>61.1</v>
      </c>
      <c r="T779" s="4" t="s">
        <v>27</v>
      </c>
      <c r="U779" s="16">
        <v>3</v>
      </c>
    </row>
    <row r="780" spans="1:21" x14ac:dyDescent="0.3">
      <c r="A780" s="13" t="s">
        <v>1113</v>
      </c>
      <c r="B780" s="45">
        <v>45576</v>
      </c>
      <c r="C780" s="1" t="s">
        <v>1072</v>
      </c>
      <c r="D780" s="41" t="s">
        <v>1376</v>
      </c>
      <c r="E780" s="1">
        <v>2024</v>
      </c>
      <c r="F780" s="1" t="s">
        <v>53</v>
      </c>
      <c r="G780" s="60" t="s">
        <v>58</v>
      </c>
      <c r="H780" s="2" t="s">
        <v>50</v>
      </c>
      <c r="I780" s="2" t="s">
        <v>31</v>
      </c>
      <c r="J780" s="2" t="s">
        <v>32</v>
      </c>
      <c r="K780" s="1">
        <v>19</v>
      </c>
      <c r="L780" s="37">
        <v>29.91</v>
      </c>
      <c r="M780" s="3">
        <v>15</v>
      </c>
      <c r="N780" s="37">
        <v>568.29</v>
      </c>
      <c r="O780" s="37">
        <v>85.24</v>
      </c>
      <c r="P780" s="53">
        <v>483.05</v>
      </c>
      <c r="Q780" s="37">
        <v>295.64999999999998</v>
      </c>
      <c r="R780" s="37">
        <v>187.4</v>
      </c>
      <c r="S780" s="3">
        <v>38.799999999999997</v>
      </c>
      <c r="T780" s="1" t="s">
        <v>44</v>
      </c>
      <c r="U780" s="15">
        <v>5</v>
      </c>
    </row>
    <row r="781" spans="1:21" x14ac:dyDescent="0.3">
      <c r="A781" s="14" t="s">
        <v>1114</v>
      </c>
      <c r="B781" s="46">
        <v>45576</v>
      </c>
      <c r="C781" s="4" t="s">
        <v>1072</v>
      </c>
      <c r="D781" s="42" t="s">
        <v>1376</v>
      </c>
      <c r="E781" s="4">
        <v>2024</v>
      </c>
      <c r="F781" s="4" t="s">
        <v>41</v>
      </c>
      <c r="G781" s="61" t="s">
        <v>91</v>
      </c>
      <c r="H781" s="5" t="s">
        <v>24</v>
      </c>
      <c r="I781" s="5" t="s">
        <v>31</v>
      </c>
      <c r="J781" s="5" t="s">
        <v>170</v>
      </c>
      <c r="K781" s="4">
        <v>8</v>
      </c>
      <c r="L781" s="38">
        <v>198.46</v>
      </c>
      <c r="M781" s="6">
        <v>15</v>
      </c>
      <c r="N781" s="38">
        <v>1587.68</v>
      </c>
      <c r="O781" s="38">
        <v>238.15</v>
      </c>
      <c r="P781" s="54">
        <v>1349.53</v>
      </c>
      <c r="Q781" s="38">
        <v>554.15</v>
      </c>
      <c r="R781" s="38">
        <v>795.38</v>
      </c>
      <c r="S781" s="6">
        <v>58.9</v>
      </c>
      <c r="T781" s="4" t="s">
        <v>44</v>
      </c>
      <c r="U781" s="16">
        <v>1</v>
      </c>
    </row>
    <row r="782" spans="1:21" x14ac:dyDescent="0.3">
      <c r="A782" s="13" t="s">
        <v>1115</v>
      </c>
      <c r="B782" s="45">
        <v>45577</v>
      </c>
      <c r="C782" s="1" t="s">
        <v>1072</v>
      </c>
      <c r="D782" s="41" t="s">
        <v>1376</v>
      </c>
      <c r="E782" s="1">
        <v>2024</v>
      </c>
      <c r="F782" s="1" t="s">
        <v>53</v>
      </c>
      <c r="G782" s="60" t="s">
        <v>23</v>
      </c>
      <c r="H782" s="2" t="s">
        <v>59</v>
      </c>
      <c r="I782" s="2" t="s">
        <v>55</v>
      </c>
      <c r="J782" s="2" t="s">
        <v>381</v>
      </c>
      <c r="K782" s="1">
        <v>6</v>
      </c>
      <c r="L782" s="37">
        <v>797.38</v>
      </c>
      <c r="M782" s="3">
        <v>5</v>
      </c>
      <c r="N782" s="37">
        <v>4784.28</v>
      </c>
      <c r="O782" s="37">
        <v>239.21</v>
      </c>
      <c r="P782" s="53">
        <v>4545.07</v>
      </c>
      <c r="Q782" s="37">
        <v>2252.59</v>
      </c>
      <c r="R782" s="37">
        <v>2292.48</v>
      </c>
      <c r="S782" s="3">
        <v>50.4</v>
      </c>
      <c r="T782" s="1" t="s">
        <v>44</v>
      </c>
      <c r="U782" s="15">
        <v>5</v>
      </c>
    </row>
    <row r="783" spans="1:21" x14ac:dyDescent="0.3">
      <c r="A783" s="14" t="s">
        <v>1116</v>
      </c>
      <c r="B783" s="46">
        <v>45577</v>
      </c>
      <c r="C783" s="4" t="s">
        <v>1072</v>
      </c>
      <c r="D783" s="42" t="s">
        <v>1376</v>
      </c>
      <c r="E783" s="4">
        <v>2024</v>
      </c>
      <c r="F783" s="4" t="s">
        <v>35</v>
      </c>
      <c r="G783" s="61" t="s">
        <v>122</v>
      </c>
      <c r="H783" s="5" t="s">
        <v>59</v>
      </c>
      <c r="I783" s="5" t="s">
        <v>31</v>
      </c>
      <c r="J783" s="5" t="s">
        <v>1117</v>
      </c>
      <c r="K783" s="4">
        <v>15</v>
      </c>
      <c r="L783" s="38">
        <v>20.86</v>
      </c>
      <c r="M783" s="6">
        <v>15</v>
      </c>
      <c r="N783" s="38">
        <v>312.89999999999998</v>
      </c>
      <c r="O783" s="38">
        <v>46.93</v>
      </c>
      <c r="P783" s="54">
        <v>265.97000000000003</v>
      </c>
      <c r="Q783" s="38">
        <v>100.97</v>
      </c>
      <c r="R783" s="38">
        <v>165</v>
      </c>
      <c r="S783" s="6">
        <v>62</v>
      </c>
      <c r="T783" s="4" t="s">
        <v>44</v>
      </c>
      <c r="U783" s="16">
        <v>4</v>
      </c>
    </row>
    <row r="784" spans="1:21" x14ac:dyDescent="0.3">
      <c r="A784" s="13" t="s">
        <v>1118</v>
      </c>
      <c r="B784" s="45">
        <v>45577</v>
      </c>
      <c r="C784" s="1" t="s">
        <v>1072</v>
      </c>
      <c r="D784" s="41" t="s">
        <v>1376</v>
      </c>
      <c r="E784" s="1">
        <v>2024</v>
      </c>
      <c r="F784" s="1" t="s">
        <v>29</v>
      </c>
      <c r="G784" s="60" t="s">
        <v>46</v>
      </c>
      <c r="H784" s="2" t="s">
        <v>59</v>
      </c>
      <c r="I784" s="2" t="s">
        <v>47</v>
      </c>
      <c r="J784" s="2" t="s">
        <v>610</v>
      </c>
      <c r="K784" s="1">
        <v>3</v>
      </c>
      <c r="L784" s="37">
        <v>214.53</v>
      </c>
      <c r="M784" s="3">
        <v>15</v>
      </c>
      <c r="N784" s="37">
        <v>643.59</v>
      </c>
      <c r="O784" s="37">
        <v>96.54</v>
      </c>
      <c r="P784" s="53">
        <v>547.04999999999995</v>
      </c>
      <c r="Q784" s="37">
        <v>285.18</v>
      </c>
      <c r="R784" s="37">
        <v>261.87</v>
      </c>
      <c r="S784" s="3">
        <v>47.9</v>
      </c>
      <c r="T784" s="1" t="s">
        <v>27</v>
      </c>
      <c r="U784" s="15">
        <v>4</v>
      </c>
    </row>
    <row r="785" spans="1:21" x14ac:dyDescent="0.3">
      <c r="A785" s="14" t="s">
        <v>1119</v>
      </c>
      <c r="B785" s="46">
        <v>45578</v>
      </c>
      <c r="C785" s="4" t="s">
        <v>1072</v>
      </c>
      <c r="D785" s="42" t="s">
        <v>1376</v>
      </c>
      <c r="E785" s="4">
        <v>2024</v>
      </c>
      <c r="F785" s="4" t="s">
        <v>53</v>
      </c>
      <c r="G785" s="61" t="s">
        <v>58</v>
      </c>
      <c r="H785" s="5" t="s">
        <v>37</v>
      </c>
      <c r="I785" s="5" t="s">
        <v>31</v>
      </c>
      <c r="J785" s="5" t="s">
        <v>796</v>
      </c>
      <c r="K785" s="4">
        <v>2</v>
      </c>
      <c r="L785" s="38">
        <v>84.78</v>
      </c>
      <c r="M785" s="6">
        <v>20</v>
      </c>
      <c r="N785" s="38">
        <v>169.56</v>
      </c>
      <c r="O785" s="38">
        <v>33.909999999999997</v>
      </c>
      <c r="P785" s="54">
        <v>135.65</v>
      </c>
      <c r="Q785" s="38">
        <v>81.510000000000005</v>
      </c>
      <c r="R785" s="38">
        <v>54.14</v>
      </c>
      <c r="S785" s="6">
        <v>39.9</v>
      </c>
      <c r="T785" s="4" t="s">
        <v>27</v>
      </c>
      <c r="U785" s="16">
        <v>3</v>
      </c>
    </row>
    <row r="786" spans="1:21" x14ac:dyDescent="0.3">
      <c r="A786" s="13" t="s">
        <v>1120</v>
      </c>
      <c r="B786" s="45">
        <v>45578</v>
      </c>
      <c r="C786" s="1" t="s">
        <v>1072</v>
      </c>
      <c r="D786" s="41" t="s">
        <v>1376</v>
      </c>
      <c r="E786" s="1">
        <v>2024</v>
      </c>
      <c r="F786" s="1" t="s">
        <v>29</v>
      </c>
      <c r="G786" s="60" t="s">
        <v>23</v>
      </c>
      <c r="H786" s="2" t="s">
        <v>24</v>
      </c>
      <c r="I786" s="2" t="s">
        <v>31</v>
      </c>
      <c r="J786" s="2" t="s">
        <v>1121</v>
      </c>
      <c r="K786" s="1">
        <v>10</v>
      </c>
      <c r="L786" s="37">
        <v>103.06</v>
      </c>
      <c r="M786" s="3">
        <v>10</v>
      </c>
      <c r="N786" s="37">
        <v>1030.5999999999999</v>
      </c>
      <c r="O786" s="37">
        <v>103.06</v>
      </c>
      <c r="P786" s="53">
        <v>927.54</v>
      </c>
      <c r="Q786" s="37">
        <v>507.71</v>
      </c>
      <c r="R786" s="37">
        <v>419.83</v>
      </c>
      <c r="S786" s="3">
        <v>45.3</v>
      </c>
      <c r="T786" s="1" t="s">
        <v>27</v>
      </c>
      <c r="U786" s="15">
        <v>3</v>
      </c>
    </row>
    <row r="787" spans="1:21" x14ac:dyDescent="0.3">
      <c r="A787" s="14" t="s">
        <v>1122</v>
      </c>
      <c r="B787" s="46">
        <v>45579</v>
      </c>
      <c r="C787" s="4" t="s">
        <v>1072</v>
      </c>
      <c r="D787" s="42" t="s">
        <v>1376</v>
      </c>
      <c r="E787" s="4">
        <v>2024</v>
      </c>
      <c r="F787" s="4" t="s">
        <v>53</v>
      </c>
      <c r="G787" s="61" t="s">
        <v>46</v>
      </c>
      <c r="H787" s="5" t="s">
        <v>37</v>
      </c>
      <c r="I787" s="5" t="s">
        <v>25</v>
      </c>
      <c r="J787" s="5" t="s">
        <v>296</v>
      </c>
      <c r="K787" s="4">
        <v>1</v>
      </c>
      <c r="L787" s="38">
        <v>99.14</v>
      </c>
      <c r="M787" s="6">
        <v>0</v>
      </c>
      <c r="N787" s="38">
        <v>99.14</v>
      </c>
      <c r="O787" s="38">
        <v>0</v>
      </c>
      <c r="P787" s="54">
        <v>99.14</v>
      </c>
      <c r="Q787" s="38">
        <v>50.34</v>
      </c>
      <c r="R787" s="38">
        <v>48.8</v>
      </c>
      <c r="S787" s="6">
        <v>49.2</v>
      </c>
      <c r="T787" s="4" t="s">
        <v>44</v>
      </c>
      <c r="U787" s="16">
        <v>2</v>
      </c>
    </row>
    <row r="788" spans="1:21" x14ac:dyDescent="0.3">
      <c r="A788" s="13" t="s">
        <v>1123</v>
      </c>
      <c r="B788" s="45">
        <v>45579</v>
      </c>
      <c r="C788" s="1" t="s">
        <v>1072</v>
      </c>
      <c r="D788" s="41" t="s">
        <v>1376</v>
      </c>
      <c r="E788" s="1">
        <v>2024</v>
      </c>
      <c r="F788" s="1" t="s">
        <v>35</v>
      </c>
      <c r="G788" s="60" t="s">
        <v>42</v>
      </c>
      <c r="H788" s="2" t="s">
        <v>37</v>
      </c>
      <c r="I788" s="2" t="s">
        <v>31</v>
      </c>
      <c r="J788" s="2" t="s">
        <v>282</v>
      </c>
      <c r="K788" s="1">
        <v>11</v>
      </c>
      <c r="L788" s="37">
        <v>145.03</v>
      </c>
      <c r="M788" s="3">
        <v>20</v>
      </c>
      <c r="N788" s="37">
        <v>1595.33</v>
      </c>
      <c r="O788" s="37">
        <v>319.07</v>
      </c>
      <c r="P788" s="53">
        <v>1276.26</v>
      </c>
      <c r="Q788" s="37">
        <v>715.21</v>
      </c>
      <c r="R788" s="37">
        <v>561.04999999999995</v>
      </c>
      <c r="S788" s="3">
        <v>44</v>
      </c>
      <c r="T788" s="1" t="s">
        <v>44</v>
      </c>
      <c r="U788" s="15">
        <v>2</v>
      </c>
    </row>
    <row r="789" spans="1:21" x14ac:dyDescent="0.3">
      <c r="A789" s="14" t="s">
        <v>1124</v>
      </c>
      <c r="B789" s="46">
        <v>45579</v>
      </c>
      <c r="C789" s="4" t="s">
        <v>1072</v>
      </c>
      <c r="D789" s="42" t="s">
        <v>1376</v>
      </c>
      <c r="E789" s="4">
        <v>2024</v>
      </c>
      <c r="F789" s="4" t="s">
        <v>53</v>
      </c>
      <c r="G789" s="61" t="s">
        <v>91</v>
      </c>
      <c r="H789" s="5" t="s">
        <v>24</v>
      </c>
      <c r="I789" s="5" t="s">
        <v>38</v>
      </c>
      <c r="J789" s="5" t="s">
        <v>366</v>
      </c>
      <c r="K789" s="4">
        <v>9</v>
      </c>
      <c r="L789" s="38">
        <v>11.2</v>
      </c>
      <c r="M789" s="6">
        <v>5</v>
      </c>
      <c r="N789" s="38">
        <v>100.8</v>
      </c>
      <c r="O789" s="38">
        <v>5.04</v>
      </c>
      <c r="P789" s="54">
        <v>95.76</v>
      </c>
      <c r="Q789" s="38">
        <v>40.869999999999997</v>
      </c>
      <c r="R789" s="38">
        <v>54.89</v>
      </c>
      <c r="S789" s="6">
        <v>57.3</v>
      </c>
      <c r="T789" s="4" t="s">
        <v>44</v>
      </c>
      <c r="U789" s="16">
        <v>1</v>
      </c>
    </row>
    <row r="790" spans="1:21" x14ac:dyDescent="0.3">
      <c r="A790" s="13" t="s">
        <v>1125</v>
      </c>
      <c r="B790" s="45">
        <v>45580</v>
      </c>
      <c r="C790" s="1" t="s">
        <v>1072</v>
      </c>
      <c r="D790" s="41" t="s">
        <v>1376</v>
      </c>
      <c r="E790" s="1">
        <v>2024</v>
      </c>
      <c r="F790" s="1" t="s">
        <v>41</v>
      </c>
      <c r="G790" s="60" t="s">
        <v>54</v>
      </c>
      <c r="H790" s="2" t="s">
        <v>59</v>
      </c>
      <c r="I790" s="2" t="s">
        <v>55</v>
      </c>
      <c r="J790" s="2" t="s">
        <v>1126</v>
      </c>
      <c r="K790" s="1">
        <v>4</v>
      </c>
      <c r="L790" s="37">
        <v>1022.13</v>
      </c>
      <c r="M790" s="3">
        <v>20</v>
      </c>
      <c r="N790" s="37">
        <v>4088.52</v>
      </c>
      <c r="O790" s="37">
        <v>817.7</v>
      </c>
      <c r="P790" s="53">
        <v>3270.82</v>
      </c>
      <c r="Q790" s="37">
        <v>1504.27</v>
      </c>
      <c r="R790" s="37">
        <v>1766.55</v>
      </c>
      <c r="S790" s="3">
        <v>54</v>
      </c>
      <c r="T790" s="1" t="s">
        <v>44</v>
      </c>
      <c r="U790" s="15">
        <v>4</v>
      </c>
    </row>
    <row r="791" spans="1:21" x14ac:dyDescent="0.3">
      <c r="A791" s="14" t="s">
        <v>1127</v>
      </c>
      <c r="B791" s="46">
        <v>45580</v>
      </c>
      <c r="C791" s="4" t="s">
        <v>1072</v>
      </c>
      <c r="D791" s="42" t="s">
        <v>1376</v>
      </c>
      <c r="E791" s="4">
        <v>2024</v>
      </c>
      <c r="F791" s="4" t="s">
        <v>22</v>
      </c>
      <c r="G791" s="61" t="s">
        <v>46</v>
      </c>
      <c r="H791" s="5" t="s">
        <v>37</v>
      </c>
      <c r="I791" s="5" t="s">
        <v>31</v>
      </c>
      <c r="J791" s="5" t="s">
        <v>1128</v>
      </c>
      <c r="K791" s="4">
        <v>3</v>
      </c>
      <c r="L791" s="38">
        <v>134.31</v>
      </c>
      <c r="M791" s="6">
        <v>0</v>
      </c>
      <c r="N791" s="38">
        <v>402.93</v>
      </c>
      <c r="O791" s="38">
        <v>0</v>
      </c>
      <c r="P791" s="54">
        <v>402.93</v>
      </c>
      <c r="Q791" s="38">
        <v>214.27</v>
      </c>
      <c r="R791" s="38">
        <v>188.66</v>
      </c>
      <c r="S791" s="6">
        <v>46.8</v>
      </c>
      <c r="T791" s="4" t="s">
        <v>27</v>
      </c>
      <c r="U791" s="16">
        <v>4</v>
      </c>
    </row>
    <row r="792" spans="1:21" x14ac:dyDescent="0.3">
      <c r="A792" s="13" t="s">
        <v>1129</v>
      </c>
      <c r="B792" s="45">
        <v>45580</v>
      </c>
      <c r="C792" s="1" t="s">
        <v>1072</v>
      </c>
      <c r="D792" s="41" t="s">
        <v>1376</v>
      </c>
      <c r="E792" s="1">
        <v>2024</v>
      </c>
      <c r="F792" s="1" t="s">
        <v>29</v>
      </c>
      <c r="G792" s="60" t="s">
        <v>30</v>
      </c>
      <c r="H792" s="2" t="s">
        <v>24</v>
      </c>
      <c r="I792" s="2" t="s">
        <v>38</v>
      </c>
      <c r="J792" s="2" t="s">
        <v>646</v>
      </c>
      <c r="K792" s="1">
        <v>11</v>
      </c>
      <c r="L792" s="37">
        <v>29.85</v>
      </c>
      <c r="M792" s="3">
        <v>10</v>
      </c>
      <c r="N792" s="37">
        <v>328.35</v>
      </c>
      <c r="O792" s="37">
        <v>32.840000000000003</v>
      </c>
      <c r="P792" s="53">
        <v>295.51</v>
      </c>
      <c r="Q792" s="37">
        <v>109.71</v>
      </c>
      <c r="R792" s="37">
        <v>185.8</v>
      </c>
      <c r="S792" s="3">
        <v>62.9</v>
      </c>
      <c r="T792" s="1" t="s">
        <v>33</v>
      </c>
      <c r="U792" s="15">
        <v>1</v>
      </c>
    </row>
    <row r="793" spans="1:21" x14ac:dyDescent="0.3">
      <c r="A793" s="14" t="s">
        <v>1130</v>
      </c>
      <c r="B793" s="46">
        <v>45580</v>
      </c>
      <c r="C793" s="4" t="s">
        <v>1072</v>
      </c>
      <c r="D793" s="42" t="s">
        <v>1376</v>
      </c>
      <c r="E793" s="4">
        <v>2024</v>
      </c>
      <c r="F793" s="4" t="s">
        <v>22</v>
      </c>
      <c r="G793" s="61" t="s">
        <v>30</v>
      </c>
      <c r="H793" s="5" t="s">
        <v>50</v>
      </c>
      <c r="I793" s="5" t="s">
        <v>75</v>
      </c>
      <c r="J793" s="5" t="s">
        <v>87</v>
      </c>
      <c r="K793" s="4">
        <v>6</v>
      </c>
      <c r="L793" s="38">
        <v>391.5</v>
      </c>
      <c r="M793" s="6">
        <v>0</v>
      </c>
      <c r="N793" s="38">
        <v>2349</v>
      </c>
      <c r="O793" s="38">
        <v>0</v>
      </c>
      <c r="P793" s="54">
        <v>2349</v>
      </c>
      <c r="Q793" s="38">
        <v>1477.67</v>
      </c>
      <c r="R793" s="38">
        <v>871.33</v>
      </c>
      <c r="S793" s="6">
        <v>37.1</v>
      </c>
      <c r="T793" s="4" t="s">
        <v>44</v>
      </c>
      <c r="U793" s="16">
        <v>3</v>
      </c>
    </row>
    <row r="794" spans="1:21" x14ac:dyDescent="0.3">
      <c r="A794" s="13" t="s">
        <v>1131</v>
      </c>
      <c r="B794" s="45">
        <v>45581</v>
      </c>
      <c r="C794" s="1" t="s">
        <v>1072</v>
      </c>
      <c r="D794" s="41" t="s">
        <v>1376</v>
      </c>
      <c r="E794" s="1">
        <v>2024</v>
      </c>
      <c r="F794" s="1" t="s">
        <v>53</v>
      </c>
      <c r="G794" s="60" t="s">
        <v>91</v>
      </c>
      <c r="H794" s="2" t="s">
        <v>37</v>
      </c>
      <c r="I794" s="2" t="s">
        <v>75</v>
      </c>
      <c r="J794" s="2" t="s">
        <v>659</v>
      </c>
      <c r="K794" s="1">
        <v>13</v>
      </c>
      <c r="L794" s="37">
        <v>390.19</v>
      </c>
      <c r="M794" s="3">
        <v>0</v>
      </c>
      <c r="N794" s="37">
        <v>5072.47</v>
      </c>
      <c r="O794" s="37">
        <v>0</v>
      </c>
      <c r="P794" s="53">
        <v>5072.47</v>
      </c>
      <c r="Q794" s="37">
        <v>2093.0100000000002</v>
      </c>
      <c r="R794" s="37">
        <v>2979.46</v>
      </c>
      <c r="S794" s="3">
        <v>58.7</v>
      </c>
      <c r="T794" s="1" t="s">
        <v>44</v>
      </c>
      <c r="U794" s="15">
        <v>4</v>
      </c>
    </row>
    <row r="795" spans="1:21" x14ac:dyDescent="0.3">
      <c r="A795" s="14" t="s">
        <v>1132</v>
      </c>
      <c r="B795" s="46">
        <v>45581</v>
      </c>
      <c r="C795" s="4" t="s">
        <v>1072</v>
      </c>
      <c r="D795" s="42" t="s">
        <v>1376</v>
      </c>
      <c r="E795" s="4">
        <v>2024</v>
      </c>
      <c r="F795" s="4" t="s">
        <v>41</v>
      </c>
      <c r="G795" s="61" t="s">
        <v>46</v>
      </c>
      <c r="H795" s="5" t="s">
        <v>59</v>
      </c>
      <c r="I795" s="5" t="s">
        <v>25</v>
      </c>
      <c r="J795" s="5" t="s">
        <v>294</v>
      </c>
      <c r="K795" s="4">
        <v>6</v>
      </c>
      <c r="L795" s="38">
        <v>135.27000000000001</v>
      </c>
      <c r="M795" s="6">
        <v>5</v>
      </c>
      <c r="N795" s="38">
        <v>811.62</v>
      </c>
      <c r="O795" s="38">
        <v>40.58</v>
      </c>
      <c r="P795" s="54">
        <v>771.04</v>
      </c>
      <c r="Q795" s="38">
        <v>383.53</v>
      </c>
      <c r="R795" s="38">
        <v>387.51</v>
      </c>
      <c r="S795" s="6">
        <v>50.3</v>
      </c>
      <c r="T795" s="4" t="s">
        <v>44</v>
      </c>
      <c r="U795" s="16">
        <v>1</v>
      </c>
    </row>
    <row r="796" spans="1:21" x14ac:dyDescent="0.3">
      <c r="A796" s="13" t="s">
        <v>1133</v>
      </c>
      <c r="B796" s="45">
        <v>45582</v>
      </c>
      <c r="C796" s="1" t="s">
        <v>1072</v>
      </c>
      <c r="D796" s="41" t="s">
        <v>1376</v>
      </c>
      <c r="E796" s="1">
        <v>2024</v>
      </c>
      <c r="F796" s="1" t="s">
        <v>53</v>
      </c>
      <c r="G796" s="60" t="s">
        <v>46</v>
      </c>
      <c r="H796" s="2" t="s">
        <v>24</v>
      </c>
      <c r="I796" s="2" t="s">
        <v>25</v>
      </c>
      <c r="J796" s="2" t="s">
        <v>200</v>
      </c>
      <c r="K796" s="1">
        <v>3</v>
      </c>
      <c r="L796" s="37">
        <v>138.68</v>
      </c>
      <c r="M796" s="3">
        <v>0</v>
      </c>
      <c r="N796" s="37">
        <v>416.04</v>
      </c>
      <c r="O796" s="37">
        <v>0</v>
      </c>
      <c r="P796" s="53">
        <v>416.04</v>
      </c>
      <c r="Q796" s="37">
        <v>256.67</v>
      </c>
      <c r="R796" s="37">
        <v>159.37</v>
      </c>
      <c r="S796" s="3">
        <v>38.299999999999997</v>
      </c>
      <c r="T796" s="1" t="s">
        <v>27</v>
      </c>
      <c r="U796" s="15">
        <v>1</v>
      </c>
    </row>
    <row r="797" spans="1:21" x14ac:dyDescent="0.3">
      <c r="A797" s="14" t="s">
        <v>1134</v>
      </c>
      <c r="B797" s="46">
        <v>45582</v>
      </c>
      <c r="C797" s="4" t="s">
        <v>1072</v>
      </c>
      <c r="D797" s="42" t="s">
        <v>1376</v>
      </c>
      <c r="E797" s="4">
        <v>2024</v>
      </c>
      <c r="F797" s="4" t="s">
        <v>35</v>
      </c>
      <c r="G797" s="61" t="s">
        <v>36</v>
      </c>
      <c r="H797" s="5" t="s">
        <v>37</v>
      </c>
      <c r="I797" s="5" t="s">
        <v>75</v>
      </c>
      <c r="J797" s="5" t="s">
        <v>142</v>
      </c>
      <c r="K797" s="4">
        <v>18</v>
      </c>
      <c r="L797" s="38">
        <v>111.16</v>
      </c>
      <c r="M797" s="6">
        <v>0</v>
      </c>
      <c r="N797" s="38">
        <v>2000.88</v>
      </c>
      <c r="O797" s="38">
        <v>0</v>
      </c>
      <c r="P797" s="54">
        <v>2000.88</v>
      </c>
      <c r="Q797" s="38">
        <v>748.3</v>
      </c>
      <c r="R797" s="38">
        <v>1252.58</v>
      </c>
      <c r="S797" s="6">
        <v>62.6</v>
      </c>
      <c r="T797" s="4" t="s">
        <v>44</v>
      </c>
      <c r="U797" s="16">
        <v>4</v>
      </c>
    </row>
    <row r="798" spans="1:21" x14ac:dyDescent="0.3">
      <c r="A798" s="13" t="s">
        <v>1135</v>
      </c>
      <c r="B798" s="45">
        <v>45583</v>
      </c>
      <c r="C798" s="1" t="s">
        <v>1072</v>
      </c>
      <c r="D798" s="41" t="s">
        <v>1376</v>
      </c>
      <c r="E798" s="1">
        <v>2024</v>
      </c>
      <c r="F798" s="1" t="s">
        <v>35</v>
      </c>
      <c r="G798" s="60" t="s">
        <v>54</v>
      </c>
      <c r="H798" s="2" t="s">
        <v>59</v>
      </c>
      <c r="I798" s="2" t="s">
        <v>38</v>
      </c>
      <c r="J798" s="2" t="s">
        <v>433</v>
      </c>
      <c r="K798" s="1">
        <v>3</v>
      </c>
      <c r="L798" s="37">
        <v>72.599999999999994</v>
      </c>
      <c r="M798" s="3">
        <v>15</v>
      </c>
      <c r="N798" s="37">
        <v>217.8</v>
      </c>
      <c r="O798" s="37">
        <v>32.67</v>
      </c>
      <c r="P798" s="53">
        <v>185.13</v>
      </c>
      <c r="Q798" s="37">
        <v>109.28</v>
      </c>
      <c r="R798" s="37">
        <v>75.849999999999994</v>
      </c>
      <c r="S798" s="3">
        <v>41</v>
      </c>
      <c r="T798" s="1" t="s">
        <v>44</v>
      </c>
      <c r="U798" s="15">
        <v>2</v>
      </c>
    </row>
    <row r="799" spans="1:21" x14ac:dyDescent="0.3">
      <c r="A799" s="14" t="s">
        <v>1136</v>
      </c>
      <c r="B799" s="46">
        <v>45583</v>
      </c>
      <c r="C799" s="4" t="s">
        <v>1072</v>
      </c>
      <c r="D799" s="42" t="s">
        <v>1376</v>
      </c>
      <c r="E799" s="4">
        <v>2024</v>
      </c>
      <c r="F799" s="4" t="s">
        <v>35</v>
      </c>
      <c r="G799" s="61" t="s">
        <v>66</v>
      </c>
      <c r="H799" s="5" t="s">
        <v>59</v>
      </c>
      <c r="I799" s="5" t="s">
        <v>25</v>
      </c>
      <c r="J799" s="5" t="s">
        <v>426</v>
      </c>
      <c r="K799" s="4">
        <v>11</v>
      </c>
      <c r="L799" s="38">
        <v>106.92</v>
      </c>
      <c r="M799" s="6">
        <v>0</v>
      </c>
      <c r="N799" s="38">
        <v>1176.1199999999999</v>
      </c>
      <c r="O799" s="38">
        <v>0</v>
      </c>
      <c r="P799" s="54">
        <v>1176.1199999999999</v>
      </c>
      <c r="Q799" s="38">
        <v>433.06</v>
      </c>
      <c r="R799" s="38">
        <v>743.06</v>
      </c>
      <c r="S799" s="6">
        <v>63.2</v>
      </c>
      <c r="T799" s="4" t="s">
        <v>27</v>
      </c>
      <c r="U799" s="16">
        <v>5</v>
      </c>
    </row>
    <row r="800" spans="1:21" x14ac:dyDescent="0.3">
      <c r="A800" s="13" t="s">
        <v>1137</v>
      </c>
      <c r="B800" s="45">
        <v>45583</v>
      </c>
      <c r="C800" s="1" t="s">
        <v>1072</v>
      </c>
      <c r="D800" s="41" t="s">
        <v>1376</v>
      </c>
      <c r="E800" s="1">
        <v>2024</v>
      </c>
      <c r="F800" s="1" t="s">
        <v>53</v>
      </c>
      <c r="G800" s="60" t="s">
        <v>30</v>
      </c>
      <c r="H800" s="2" t="s">
        <v>24</v>
      </c>
      <c r="I800" s="2" t="s">
        <v>38</v>
      </c>
      <c r="J800" s="2" t="s">
        <v>366</v>
      </c>
      <c r="K800" s="1">
        <v>20</v>
      </c>
      <c r="L800" s="37">
        <v>47.51</v>
      </c>
      <c r="M800" s="3">
        <v>0</v>
      </c>
      <c r="N800" s="37">
        <v>950.2</v>
      </c>
      <c r="O800" s="37">
        <v>0</v>
      </c>
      <c r="P800" s="53">
        <v>950.2</v>
      </c>
      <c r="Q800" s="37">
        <v>491.64</v>
      </c>
      <c r="R800" s="37">
        <v>458.56</v>
      </c>
      <c r="S800" s="3">
        <v>48.3</v>
      </c>
      <c r="T800" s="1" t="s">
        <v>44</v>
      </c>
      <c r="U800" s="15">
        <v>3</v>
      </c>
    </row>
    <row r="801" spans="1:21" x14ac:dyDescent="0.3">
      <c r="A801" s="14" t="s">
        <v>1138</v>
      </c>
      <c r="B801" s="46">
        <v>45583</v>
      </c>
      <c r="C801" s="4" t="s">
        <v>1072</v>
      </c>
      <c r="D801" s="42" t="s">
        <v>1376</v>
      </c>
      <c r="E801" s="4">
        <v>2024</v>
      </c>
      <c r="F801" s="4" t="s">
        <v>35</v>
      </c>
      <c r="G801" s="61" t="s">
        <v>66</v>
      </c>
      <c r="H801" s="5" t="s">
        <v>50</v>
      </c>
      <c r="I801" s="5" t="s">
        <v>38</v>
      </c>
      <c r="J801" s="5" t="s">
        <v>81</v>
      </c>
      <c r="K801" s="4">
        <v>20</v>
      </c>
      <c r="L801" s="38">
        <v>25.33</v>
      </c>
      <c r="M801" s="6">
        <v>0</v>
      </c>
      <c r="N801" s="38">
        <v>506.6</v>
      </c>
      <c r="O801" s="38">
        <v>0</v>
      </c>
      <c r="P801" s="54">
        <v>506.6</v>
      </c>
      <c r="Q801" s="38">
        <v>319.89999999999998</v>
      </c>
      <c r="R801" s="38">
        <v>186.7</v>
      </c>
      <c r="S801" s="6">
        <v>36.9</v>
      </c>
      <c r="T801" s="4" t="s">
        <v>44</v>
      </c>
      <c r="U801" s="16">
        <v>5</v>
      </c>
    </row>
    <row r="802" spans="1:21" x14ac:dyDescent="0.3">
      <c r="A802" s="13" t="s">
        <v>1139</v>
      </c>
      <c r="B802" s="45">
        <v>45584</v>
      </c>
      <c r="C802" s="1" t="s">
        <v>1072</v>
      </c>
      <c r="D802" s="41" t="s">
        <v>1376</v>
      </c>
      <c r="E802" s="1">
        <v>2024</v>
      </c>
      <c r="F802" s="1" t="s">
        <v>53</v>
      </c>
      <c r="G802" s="60" t="s">
        <v>30</v>
      </c>
      <c r="H802" s="2" t="s">
        <v>59</v>
      </c>
      <c r="I802" s="2" t="s">
        <v>25</v>
      </c>
      <c r="J802" s="2" t="s">
        <v>414</v>
      </c>
      <c r="K802" s="1">
        <v>16</v>
      </c>
      <c r="L802" s="37">
        <v>139.38</v>
      </c>
      <c r="M802" s="3">
        <v>20</v>
      </c>
      <c r="N802" s="37">
        <v>2230.08</v>
      </c>
      <c r="O802" s="37">
        <v>446.02</v>
      </c>
      <c r="P802" s="53">
        <v>1784.06</v>
      </c>
      <c r="Q802" s="37">
        <v>847.05</v>
      </c>
      <c r="R802" s="37">
        <v>937.01</v>
      </c>
      <c r="S802" s="3">
        <v>52.5</v>
      </c>
      <c r="T802" s="1" t="s">
        <v>33</v>
      </c>
      <c r="U802" s="15">
        <v>4</v>
      </c>
    </row>
    <row r="803" spans="1:21" x14ac:dyDescent="0.3">
      <c r="A803" s="14" t="s">
        <v>1140</v>
      </c>
      <c r="B803" s="46">
        <v>45585</v>
      </c>
      <c r="C803" s="4" t="s">
        <v>1072</v>
      </c>
      <c r="D803" s="42" t="s">
        <v>1376</v>
      </c>
      <c r="E803" s="4">
        <v>2024</v>
      </c>
      <c r="F803" s="4" t="s">
        <v>53</v>
      </c>
      <c r="G803" s="61" t="s">
        <v>46</v>
      </c>
      <c r="H803" s="5" t="s">
        <v>24</v>
      </c>
      <c r="I803" s="5" t="s">
        <v>47</v>
      </c>
      <c r="J803" s="5" t="s">
        <v>522</v>
      </c>
      <c r="K803" s="4">
        <v>1</v>
      </c>
      <c r="L803" s="38">
        <v>348.53</v>
      </c>
      <c r="M803" s="6">
        <v>20</v>
      </c>
      <c r="N803" s="38">
        <v>348.53</v>
      </c>
      <c r="O803" s="38">
        <v>69.709999999999994</v>
      </c>
      <c r="P803" s="54">
        <v>278.82</v>
      </c>
      <c r="Q803" s="38">
        <v>128.46</v>
      </c>
      <c r="R803" s="38">
        <v>150.36000000000001</v>
      </c>
      <c r="S803" s="6">
        <v>53.9</v>
      </c>
      <c r="T803" s="4" t="s">
        <v>44</v>
      </c>
      <c r="U803" s="16">
        <v>2</v>
      </c>
    </row>
    <row r="804" spans="1:21" x14ac:dyDescent="0.3">
      <c r="A804" s="13" t="s">
        <v>1141</v>
      </c>
      <c r="B804" s="45">
        <v>45586</v>
      </c>
      <c r="C804" s="1" t="s">
        <v>1072</v>
      </c>
      <c r="D804" s="41" t="s">
        <v>1376</v>
      </c>
      <c r="E804" s="1">
        <v>2024</v>
      </c>
      <c r="F804" s="1" t="s">
        <v>41</v>
      </c>
      <c r="G804" s="60" t="s">
        <v>66</v>
      </c>
      <c r="H804" s="2" t="s">
        <v>37</v>
      </c>
      <c r="I804" s="2" t="s">
        <v>38</v>
      </c>
      <c r="J804" s="2" t="s">
        <v>151</v>
      </c>
      <c r="K804" s="1">
        <v>14</v>
      </c>
      <c r="L804" s="37">
        <v>26.03</v>
      </c>
      <c r="M804" s="3">
        <v>0</v>
      </c>
      <c r="N804" s="37">
        <v>364.42</v>
      </c>
      <c r="O804" s="37">
        <v>0</v>
      </c>
      <c r="P804" s="53">
        <v>364.42</v>
      </c>
      <c r="Q804" s="37">
        <v>205</v>
      </c>
      <c r="R804" s="37">
        <v>159.41999999999999</v>
      </c>
      <c r="S804" s="3">
        <v>43.7</v>
      </c>
      <c r="T804" s="1" t="s">
        <v>44</v>
      </c>
      <c r="U804" s="15">
        <v>5</v>
      </c>
    </row>
    <row r="805" spans="1:21" x14ac:dyDescent="0.3">
      <c r="A805" s="14" t="s">
        <v>1142</v>
      </c>
      <c r="B805" s="46">
        <v>45586</v>
      </c>
      <c r="C805" s="4" t="s">
        <v>1072</v>
      </c>
      <c r="D805" s="42" t="s">
        <v>1376</v>
      </c>
      <c r="E805" s="4">
        <v>2024</v>
      </c>
      <c r="F805" s="4" t="s">
        <v>29</v>
      </c>
      <c r="G805" s="61" t="s">
        <v>54</v>
      </c>
      <c r="H805" s="5" t="s">
        <v>50</v>
      </c>
      <c r="I805" s="5" t="s">
        <v>47</v>
      </c>
      <c r="J805" s="5" t="s">
        <v>179</v>
      </c>
      <c r="K805" s="4">
        <v>6</v>
      </c>
      <c r="L805" s="38">
        <v>280.64999999999998</v>
      </c>
      <c r="M805" s="6">
        <v>0</v>
      </c>
      <c r="N805" s="38">
        <v>1683.9</v>
      </c>
      <c r="O805" s="38">
        <v>0</v>
      </c>
      <c r="P805" s="54">
        <v>1683.9</v>
      </c>
      <c r="Q805" s="38">
        <v>1005.44</v>
      </c>
      <c r="R805" s="38">
        <v>678.46</v>
      </c>
      <c r="S805" s="6">
        <v>40.299999999999997</v>
      </c>
      <c r="T805" s="4" t="s">
        <v>27</v>
      </c>
      <c r="U805" s="16">
        <v>1</v>
      </c>
    </row>
    <row r="806" spans="1:21" x14ac:dyDescent="0.3">
      <c r="A806" s="13" t="s">
        <v>1143</v>
      </c>
      <c r="B806" s="45">
        <v>45586</v>
      </c>
      <c r="C806" s="1" t="s">
        <v>1072</v>
      </c>
      <c r="D806" s="41" t="s">
        <v>1376</v>
      </c>
      <c r="E806" s="1">
        <v>2024</v>
      </c>
      <c r="F806" s="1" t="s">
        <v>22</v>
      </c>
      <c r="G806" s="60" t="s">
        <v>23</v>
      </c>
      <c r="H806" s="2" t="s">
        <v>24</v>
      </c>
      <c r="I806" s="2" t="s">
        <v>31</v>
      </c>
      <c r="J806" s="2" t="s">
        <v>557</v>
      </c>
      <c r="K806" s="1">
        <v>20</v>
      </c>
      <c r="L806" s="37">
        <v>136.75</v>
      </c>
      <c r="M806" s="3">
        <v>15</v>
      </c>
      <c r="N806" s="37">
        <v>2735</v>
      </c>
      <c r="O806" s="37">
        <v>410.25</v>
      </c>
      <c r="P806" s="53">
        <v>2324.75</v>
      </c>
      <c r="Q806" s="37">
        <v>999.05</v>
      </c>
      <c r="R806" s="37">
        <v>1325.7</v>
      </c>
      <c r="S806" s="3">
        <v>57</v>
      </c>
      <c r="T806" s="1" t="s">
        <v>27</v>
      </c>
      <c r="U806" s="15">
        <v>3</v>
      </c>
    </row>
    <row r="807" spans="1:21" x14ac:dyDescent="0.3">
      <c r="A807" s="14" t="s">
        <v>1144</v>
      </c>
      <c r="B807" s="46">
        <v>45587</v>
      </c>
      <c r="C807" s="4" t="s">
        <v>1072</v>
      </c>
      <c r="D807" s="42" t="s">
        <v>1376</v>
      </c>
      <c r="E807" s="4">
        <v>2024</v>
      </c>
      <c r="F807" s="4" t="s">
        <v>29</v>
      </c>
      <c r="G807" s="61" t="s">
        <v>58</v>
      </c>
      <c r="H807" s="5" t="s">
        <v>24</v>
      </c>
      <c r="I807" s="5" t="s">
        <v>75</v>
      </c>
      <c r="J807" s="5" t="s">
        <v>326</v>
      </c>
      <c r="K807" s="4">
        <v>14</v>
      </c>
      <c r="L807" s="38">
        <v>92.26</v>
      </c>
      <c r="M807" s="6">
        <v>0</v>
      </c>
      <c r="N807" s="38">
        <v>1291.6400000000001</v>
      </c>
      <c r="O807" s="38">
        <v>0</v>
      </c>
      <c r="P807" s="54">
        <v>1291.6400000000001</v>
      </c>
      <c r="Q807" s="38">
        <v>467.83</v>
      </c>
      <c r="R807" s="38">
        <v>823.81</v>
      </c>
      <c r="S807" s="6">
        <v>63.8</v>
      </c>
      <c r="T807" s="4" t="s">
        <v>44</v>
      </c>
      <c r="U807" s="16">
        <v>1</v>
      </c>
    </row>
    <row r="808" spans="1:21" x14ac:dyDescent="0.3">
      <c r="A808" s="13" t="s">
        <v>1145</v>
      </c>
      <c r="B808" s="45">
        <v>45587</v>
      </c>
      <c r="C808" s="1" t="s">
        <v>1072</v>
      </c>
      <c r="D808" s="41" t="s">
        <v>1376</v>
      </c>
      <c r="E808" s="1">
        <v>2024</v>
      </c>
      <c r="F808" s="1" t="s">
        <v>22</v>
      </c>
      <c r="G808" s="60" t="s">
        <v>122</v>
      </c>
      <c r="H808" s="2" t="s">
        <v>50</v>
      </c>
      <c r="I808" s="2" t="s">
        <v>55</v>
      </c>
      <c r="J808" s="2" t="s">
        <v>115</v>
      </c>
      <c r="K808" s="1">
        <v>6</v>
      </c>
      <c r="L808" s="37">
        <v>1027.99</v>
      </c>
      <c r="M808" s="3">
        <v>0</v>
      </c>
      <c r="N808" s="37">
        <v>6167.94</v>
      </c>
      <c r="O808" s="37">
        <v>0</v>
      </c>
      <c r="P808" s="53">
        <v>6167.94</v>
      </c>
      <c r="Q808" s="37">
        <v>2289.02</v>
      </c>
      <c r="R808" s="37">
        <v>3878.92</v>
      </c>
      <c r="S808" s="3">
        <v>62.9</v>
      </c>
      <c r="T808" s="1" t="s">
        <v>44</v>
      </c>
      <c r="U808" s="15">
        <v>5</v>
      </c>
    </row>
    <row r="809" spans="1:21" x14ac:dyDescent="0.3">
      <c r="A809" s="14" t="s">
        <v>1146</v>
      </c>
      <c r="B809" s="46">
        <v>45587</v>
      </c>
      <c r="C809" s="4" t="s">
        <v>1072</v>
      </c>
      <c r="D809" s="42" t="s">
        <v>1376</v>
      </c>
      <c r="E809" s="4">
        <v>2024</v>
      </c>
      <c r="F809" s="4" t="s">
        <v>22</v>
      </c>
      <c r="G809" s="61" t="s">
        <v>54</v>
      </c>
      <c r="H809" s="5" t="s">
        <v>59</v>
      </c>
      <c r="I809" s="5" t="s">
        <v>75</v>
      </c>
      <c r="J809" s="5" t="s">
        <v>278</v>
      </c>
      <c r="K809" s="4">
        <v>2</v>
      </c>
      <c r="L809" s="38">
        <v>30.87</v>
      </c>
      <c r="M809" s="6">
        <v>20</v>
      </c>
      <c r="N809" s="38">
        <v>61.74</v>
      </c>
      <c r="O809" s="38">
        <v>12.35</v>
      </c>
      <c r="P809" s="54">
        <v>49.39</v>
      </c>
      <c r="Q809" s="38">
        <v>21.79</v>
      </c>
      <c r="R809" s="38">
        <v>27.6</v>
      </c>
      <c r="S809" s="6">
        <v>55.9</v>
      </c>
      <c r="T809" s="4" t="s">
        <v>33</v>
      </c>
      <c r="U809" s="16">
        <v>1</v>
      </c>
    </row>
    <row r="810" spans="1:21" x14ac:dyDescent="0.3">
      <c r="A810" s="13" t="s">
        <v>1147</v>
      </c>
      <c r="B810" s="45">
        <v>45587</v>
      </c>
      <c r="C810" s="1" t="s">
        <v>1072</v>
      </c>
      <c r="D810" s="41" t="s">
        <v>1376</v>
      </c>
      <c r="E810" s="1">
        <v>2024</v>
      </c>
      <c r="F810" s="1" t="s">
        <v>53</v>
      </c>
      <c r="G810" s="60" t="s">
        <v>91</v>
      </c>
      <c r="H810" s="2" t="s">
        <v>59</v>
      </c>
      <c r="I810" s="2" t="s">
        <v>75</v>
      </c>
      <c r="J810" s="2" t="s">
        <v>1007</v>
      </c>
      <c r="K810" s="1">
        <v>4</v>
      </c>
      <c r="L810" s="37">
        <v>102.68</v>
      </c>
      <c r="M810" s="3">
        <v>0</v>
      </c>
      <c r="N810" s="37">
        <v>410.72</v>
      </c>
      <c r="O810" s="37">
        <v>0</v>
      </c>
      <c r="P810" s="53">
        <v>410.72</v>
      </c>
      <c r="Q810" s="37">
        <v>260.14</v>
      </c>
      <c r="R810" s="37">
        <v>150.58000000000001</v>
      </c>
      <c r="S810" s="3">
        <v>36.700000000000003</v>
      </c>
      <c r="T810" s="1" t="s">
        <v>44</v>
      </c>
      <c r="U810" s="15">
        <v>4</v>
      </c>
    </row>
    <row r="811" spans="1:21" x14ac:dyDescent="0.3">
      <c r="A811" s="14" t="s">
        <v>1148</v>
      </c>
      <c r="B811" s="46">
        <v>45588</v>
      </c>
      <c r="C811" s="4" t="s">
        <v>1072</v>
      </c>
      <c r="D811" s="42" t="s">
        <v>1376</v>
      </c>
      <c r="E811" s="4">
        <v>2024</v>
      </c>
      <c r="F811" s="4" t="s">
        <v>35</v>
      </c>
      <c r="G811" s="61" t="s">
        <v>58</v>
      </c>
      <c r="H811" s="5" t="s">
        <v>37</v>
      </c>
      <c r="I811" s="5" t="s">
        <v>38</v>
      </c>
      <c r="J811" s="5" t="s">
        <v>120</v>
      </c>
      <c r="K811" s="4">
        <v>11</v>
      </c>
      <c r="L811" s="38">
        <v>15.81</v>
      </c>
      <c r="M811" s="6">
        <v>15</v>
      </c>
      <c r="N811" s="38">
        <v>173.91</v>
      </c>
      <c r="O811" s="38">
        <v>26.09</v>
      </c>
      <c r="P811" s="54">
        <v>147.82</v>
      </c>
      <c r="Q811" s="38">
        <v>94.34</v>
      </c>
      <c r="R811" s="38">
        <v>53.48</v>
      </c>
      <c r="S811" s="6">
        <v>36.200000000000003</v>
      </c>
      <c r="T811" s="4" t="s">
        <v>27</v>
      </c>
      <c r="U811" s="16">
        <v>3</v>
      </c>
    </row>
    <row r="812" spans="1:21" x14ac:dyDescent="0.3">
      <c r="A812" s="13" t="s">
        <v>1149</v>
      </c>
      <c r="B812" s="45">
        <v>45588</v>
      </c>
      <c r="C812" s="1" t="s">
        <v>1072</v>
      </c>
      <c r="D812" s="41" t="s">
        <v>1376</v>
      </c>
      <c r="E812" s="1">
        <v>2024</v>
      </c>
      <c r="F812" s="1" t="s">
        <v>35</v>
      </c>
      <c r="G812" s="60" t="s">
        <v>58</v>
      </c>
      <c r="H812" s="2" t="s">
        <v>37</v>
      </c>
      <c r="I812" s="2" t="s">
        <v>47</v>
      </c>
      <c r="J812" s="2" t="s">
        <v>109</v>
      </c>
      <c r="K812" s="1">
        <v>7</v>
      </c>
      <c r="L812" s="37">
        <v>413.93</v>
      </c>
      <c r="M812" s="3">
        <v>20</v>
      </c>
      <c r="N812" s="37">
        <v>2897.51</v>
      </c>
      <c r="O812" s="37">
        <v>579.5</v>
      </c>
      <c r="P812" s="53">
        <v>2318.0100000000002</v>
      </c>
      <c r="Q812" s="37">
        <v>878.84</v>
      </c>
      <c r="R812" s="37">
        <v>1439.17</v>
      </c>
      <c r="S812" s="3">
        <v>62.1</v>
      </c>
      <c r="T812" s="1" t="s">
        <v>44</v>
      </c>
      <c r="U812" s="15">
        <v>2</v>
      </c>
    </row>
    <row r="813" spans="1:21" x14ac:dyDescent="0.3">
      <c r="A813" s="14" t="s">
        <v>1150</v>
      </c>
      <c r="B813" s="46">
        <v>45588</v>
      </c>
      <c r="C813" s="4" t="s">
        <v>1072</v>
      </c>
      <c r="D813" s="42" t="s">
        <v>1376</v>
      </c>
      <c r="E813" s="4">
        <v>2024</v>
      </c>
      <c r="F813" s="4" t="s">
        <v>35</v>
      </c>
      <c r="G813" s="61" t="s">
        <v>30</v>
      </c>
      <c r="H813" s="5" t="s">
        <v>37</v>
      </c>
      <c r="I813" s="5" t="s">
        <v>47</v>
      </c>
      <c r="J813" s="5" t="s">
        <v>162</v>
      </c>
      <c r="K813" s="4">
        <v>7</v>
      </c>
      <c r="L813" s="38">
        <v>414.03</v>
      </c>
      <c r="M813" s="6">
        <v>0</v>
      </c>
      <c r="N813" s="38">
        <v>2898.21</v>
      </c>
      <c r="O813" s="38">
        <v>0</v>
      </c>
      <c r="P813" s="54">
        <v>2898.21</v>
      </c>
      <c r="Q813" s="38">
        <v>1644.88</v>
      </c>
      <c r="R813" s="38">
        <v>1253.33</v>
      </c>
      <c r="S813" s="6">
        <v>43.2</v>
      </c>
      <c r="T813" s="4" t="s">
        <v>44</v>
      </c>
      <c r="U813" s="16">
        <v>4</v>
      </c>
    </row>
    <row r="814" spans="1:21" x14ac:dyDescent="0.3">
      <c r="A814" s="13" t="s">
        <v>1151</v>
      </c>
      <c r="B814" s="45">
        <v>45588</v>
      </c>
      <c r="C814" s="1" t="s">
        <v>1072</v>
      </c>
      <c r="D814" s="41" t="s">
        <v>1376</v>
      </c>
      <c r="E814" s="1">
        <v>2024</v>
      </c>
      <c r="F814" s="1" t="s">
        <v>29</v>
      </c>
      <c r="G814" s="60" t="s">
        <v>30</v>
      </c>
      <c r="H814" s="2" t="s">
        <v>50</v>
      </c>
      <c r="I814" s="2" t="s">
        <v>25</v>
      </c>
      <c r="J814" s="2" t="s">
        <v>749</v>
      </c>
      <c r="K814" s="1">
        <v>14</v>
      </c>
      <c r="L814" s="37">
        <v>140.04</v>
      </c>
      <c r="M814" s="3">
        <v>0</v>
      </c>
      <c r="N814" s="37">
        <v>1960.56</v>
      </c>
      <c r="O814" s="37">
        <v>0</v>
      </c>
      <c r="P814" s="53">
        <v>1960.56</v>
      </c>
      <c r="Q814" s="37">
        <v>998.9</v>
      </c>
      <c r="R814" s="37">
        <v>961.66</v>
      </c>
      <c r="S814" s="3">
        <v>49.1</v>
      </c>
      <c r="T814" s="1" t="s">
        <v>44</v>
      </c>
      <c r="U814" s="15">
        <v>1</v>
      </c>
    </row>
    <row r="815" spans="1:21" x14ac:dyDescent="0.3">
      <c r="A815" s="14" t="s">
        <v>1152</v>
      </c>
      <c r="B815" s="46">
        <v>45589</v>
      </c>
      <c r="C815" s="4" t="s">
        <v>1072</v>
      </c>
      <c r="D815" s="42" t="s">
        <v>1376</v>
      </c>
      <c r="E815" s="4">
        <v>2024</v>
      </c>
      <c r="F815" s="4" t="s">
        <v>35</v>
      </c>
      <c r="G815" s="61" t="s">
        <v>42</v>
      </c>
      <c r="H815" s="5" t="s">
        <v>50</v>
      </c>
      <c r="I815" s="5" t="s">
        <v>55</v>
      </c>
      <c r="J815" s="5" t="s">
        <v>1061</v>
      </c>
      <c r="K815" s="4">
        <v>18</v>
      </c>
      <c r="L815" s="38">
        <v>394.17</v>
      </c>
      <c r="M815" s="6">
        <v>20</v>
      </c>
      <c r="N815" s="38">
        <v>7095.06</v>
      </c>
      <c r="O815" s="38">
        <v>1419.01</v>
      </c>
      <c r="P815" s="54">
        <v>5676.05</v>
      </c>
      <c r="Q815" s="38">
        <v>2309.23</v>
      </c>
      <c r="R815" s="38">
        <v>3366.82</v>
      </c>
      <c r="S815" s="6">
        <v>59.3</v>
      </c>
      <c r="T815" s="4" t="s">
        <v>44</v>
      </c>
      <c r="U815" s="16">
        <v>5</v>
      </c>
    </row>
    <row r="816" spans="1:21" x14ac:dyDescent="0.3">
      <c r="A816" s="13" t="s">
        <v>1153</v>
      </c>
      <c r="B816" s="45">
        <v>45589</v>
      </c>
      <c r="C816" s="1" t="s">
        <v>1072</v>
      </c>
      <c r="D816" s="41" t="s">
        <v>1376</v>
      </c>
      <c r="E816" s="1">
        <v>2024</v>
      </c>
      <c r="F816" s="1" t="s">
        <v>41</v>
      </c>
      <c r="G816" s="60" t="s">
        <v>46</v>
      </c>
      <c r="H816" s="2" t="s">
        <v>59</v>
      </c>
      <c r="I816" s="2" t="s">
        <v>47</v>
      </c>
      <c r="J816" s="2" t="s">
        <v>64</v>
      </c>
      <c r="K816" s="1">
        <v>18</v>
      </c>
      <c r="L816" s="37">
        <v>290.7</v>
      </c>
      <c r="M816" s="3">
        <v>10</v>
      </c>
      <c r="N816" s="37">
        <v>5232.6000000000004</v>
      </c>
      <c r="O816" s="37">
        <v>523.26</v>
      </c>
      <c r="P816" s="53">
        <v>4709.34</v>
      </c>
      <c r="Q816" s="37">
        <v>2391.67</v>
      </c>
      <c r="R816" s="37">
        <v>2317.67</v>
      </c>
      <c r="S816" s="3">
        <v>49.2</v>
      </c>
      <c r="T816" s="1" t="s">
        <v>33</v>
      </c>
      <c r="U816" s="15">
        <v>5</v>
      </c>
    </row>
    <row r="817" spans="1:21" x14ac:dyDescent="0.3">
      <c r="A817" s="14" t="s">
        <v>1154</v>
      </c>
      <c r="B817" s="46">
        <v>45590</v>
      </c>
      <c r="C817" s="4" t="s">
        <v>1072</v>
      </c>
      <c r="D817" s="42" t="s">
        <v>1376</v>
      </c>
      <c r="E817" s="4">
        <v>2024</v>
      </c>
      <c r="F817" s="4" t="s">
        <v>53</v>
      </c>
      <c r="G817" s="61" t="s">
        <v>46</v>
      </c>
      <c r="H817" s="5" t="s">
        <v>24</v>
      </c>
      <c r="I817" s="5" t="s">
        <v>25</v>
      </c>
      <c r="J817" s="5" t="s">
        <v>848</v>
      </c>
      <c r="K817" s="4">
        <v>9</v>
      </c>
      <c r="L817" s="38">
        <v>89.34</v>
      </c>
      <c r="M817" s="6">
        <v>0</v>
      </c>
      <c r="N817" s="38">
        <v>804.06</v>
      </c>
      <c r="O817" s="38">
        <v>0</v>
      </c>
      <c r="P817" s="54">
        <v>804.06</v>
      </c>
      <c r="Q817" s="38">
        <v>341.43</v>
      </c>
      <c r="R817" s="38">
        <v>462.63</v>
      </c>
      <c r="S817" s="6">
        <v>57.5</v>
      </c>
      <c r="T817" s="4" t="s">
        <v>27</v>
      </c>
      <c r="U817" s="16">
        <v>1</v>
      </c>
    </row>
    <row r="818" spans="1:21" x14ac:dyDescent="0.3">
      <c r="A818" s="13" t="s">
        <v>1155</v>
      </c>
      <c r="B818" s="45">
        <v>45590</v>
      </c>
      <c r="C818" s="1" t="s">
        <v>1072</v>
      </c>
      <c r="D818" s="41" t="s">
        <v>1376</v>
      </c>
      <c r="E818" s="1">
        <v>2024</v>
      </c>
      <c r="F818" s="1" t="s">
        <v>35</v>
      </c>
      <c r="G818" s="60" t="s">
        <v>36</v>
      </c>
      <c r="H818" s="2" t="s">
        <v>59</v>
      </c>
      <c r="I818" s="2" t="s">
        <v>55</v>
      </c>
      <c r="J818" s="2" t="s">
        <v>428</v>
      </c>
      <c r="K818" s="1">
        <v>10</v>
      </c>
      <c r="L818" s="37">
        <v>1026.8599999999999</v>
      </c>
      <c r="M818" s="3">
        <v>0</v>
      </c>
      <c r="N818" s="37">
        <v>10268.6</v>
      </c>
      <c r="O818" s="37">
        <v>0</v>
      </c>
      <c r="P818" s="53">
        <v>10268.6</v>
      </c>
      <c r="Q818" s="37">
        <v>5520.37</v>
      </c>
      <c r="R818" s="37">
        <v>4748.2299999999996</v>
      </c>
      <c r="S818" s="3">
        <v>46.2</v>
      </c>
      <c r="T818" s="1" t="s">
        <v>44</v>
      </c>
      <c r="U818" s="15">
        <v>3</v>
      </c>
    </row>
    <row r="819" spans="1:21" x14ac:dyDescent="0.3">
      <c r="A819" s="14" t="s">
        <v>1156</v>
      </c>
      <c r="B819" s="46">
        <v>45590</v>
      </c>
      <c r="C819" s="4" t="s">
        <v>1072</v>
      </c>
      <c r="D819" s="42" t="s">
        <v>1376</v>
      </c>
      <c r="E819" s="4">
        <v>2024</v>
      </c>
      <c r="F819" s="4" t="s">
        <v>35</v>
      </c>
      <c r="G819" s="61" t="s">
        <v>91</v>
      </c>
      <c r="H819" s="5" t="s">
        <v>24</v>
      </c>
      <c r="I819" s="5" t="s">
        <v>47</v>
      </c>
      <c r="J819" s="5" t="s">
        <v>113</v>
      </c>
      <c r="K819" s="4">
        <v>10</v>
      </c>
      <c r="L819" s="38">
        <v>344.98</v>
      </c>
      <c r="M819" s="6">
        <v>20</v>
      </c>
      <c r="N819" s="38">
        <v>3449.8</v>
      </c>
      <c r="O819" s="38">
        <v>689.96</v>
      </c>
      <c r="P819" s="54">
        <v>2759.84</v>
      </c>
      <c r="Q819" s="38">
        <v>1114.06</v>
      </c>
      <c r="R819" s="38">
        <v>1645.78</v>
      </c>
      <c r="S819" s="6">
        <v>59.6</v>
      </c>
      <c r="T819" s="4" t="s">
        <v>27</v>
      </c>
      <c r="U819" s="16">
        <v>1</v>
      </c>
    </row>
    <row r="820" spans="1:21" x14ac:dyDescent="0.3">
      <c r="A820" s="13" t="s">
        <v>1157</v>
      </c>
      <c r="B820" s="45">
        <v>45591</v>
      </c>
      <c r="C820" s="1" t="s">
        <v>1072</v>
      </c>
      <c r="D820" s="41" t="s">
        <v>1376</v>
      </c>
      <c r="E820" s="1">
        <v>2024</v>
      </c>
      <c r="F820" s="1" t="s">
        <v>35</v>
      </c>
      <c r="G820" s="60" t="s">
        <v>46</v>
      </c>
      <c r="H820" s="2" t="s">
        <v>50</v>
      </c>
      <c r="I820" s="2" t="s">
        <v>75</v>
      </c>
      <c r="J820" s="2" t="s">
        <v>831</v>
      </c>
      <c r="K820" s="1">
        <v>8</v>
      </c>
      <c r="L820" s="37">
        <v>227.71</v>
      </c>
      <c r="M820" s="3">
        <v>5</v>
      </c>
      <c r="N820" s="37">
        <v>1821.68</v>
      </c>
      <c r="O820" s="37">
        <v>91.08</v>
      </c>
      <c r="P820" s="53">
        <v>1730.6</v>
      </c>
      <c r="Q820" s="37">
        <v>994.68</v>
      </c>
      <c r="R820" s="37">
        <v>735.92</v>
      </c>
      <c r="S820" s="3">
        <v>42.5</v>
      </c>
      <c r="T820" s="1" t="s">
        <v>44</v>
      </c>
      <c r="U820" s="15">
        <v>1</v>
      </c>
    </row>
    <row r="821" spans="1:21" x14ac:dyDescent="0.3">
      <c r="A821" s="14" t="s">
        <v>1158</v>
      </c>
      <c r="B821" s="46">
        <v>45591</v>
      </c>
      <c r="C821" s="4" t="s">
        <v>1072</v>
      </c>
      <c r="D821" s="42" t="s">
        <v>1376</v>
      </c>
      <c r="E821" s="4">
        <v>2024</v>
      </c>
      <c r="F821" s="4" t="s">
        <v>29</v>
      </c>
      <c r="G821" s="61" t="s">
        <v>46</v>
      </c>
      <c r="H821" s="5" t="s">
        <v>50</v>
      </c>
      <c r="I821" s="5" t="s">
        <v>75</v>
      </c>
      <c r="J821" s="5" t="s">
        <v>1007</v>
      </c>
      <c r="K821" s="4">
        <v>4</v>
      </c>
      <c r="L821" s="38">
        <v>168.94</v>
      </c>
      <c r="M821" s="6">
        <v>0</v>
      </c>
      <c r="N821" s="38">
        <v>675.76</v>
      </c>
      <c r="O821" s="38">
        <v>0</v>
      </c>
      <c r="P821" s="54">
        <v>675.76</v>
      </c>
      <c r="Q821" s="38">
        <v>320.69</v>
      </c>
      <c r="R821" s="38">
        <v>355.07</v>
      </c>
      <c r="S821" s="6">
        <v>52.5</v>
      </c>
      <c r="T821" s="4" t="s">
        <v>44</v>
      </c>
      <c r="U821" s="16">
        <v>4</v>
      </c>
    </row>
    <row r="822" spans="1:21" x14ac:dyDescent="0.3">
      <c r="A822" s="13" t="s">
        <v>1159</v>
      </c>
      <c r="B822" s="45">
        <v>45591</v>
      </c>
      <c r="C822" s="1" t="s">
        <v>1072</v>
      </c>
      <c r="D822" s="41" t="s">
        <v>1376</v>
      </c>
      <c r="E822" s="1">
        <v>2024</v>
      </c>
      <c r="F822" s="1" t="s">
        <v>53</v>
      </c>
      <c r="G822" s="60" t="s">
        <v>42</v>
      </c>
      <c r="H822" s="2" t="s">
        <v>59</v>
      </c>
      <c r="I822" s="2" t="s">
        <v>55</v>
      </c>
      <c r="J822" s="2" t="s">
        <v>637</v>
      </c>
      <c r="K822" s="1">
        <v>2</v>
      </c>
      <c r="L822" s="37">
        <v>900.71</v>
      </c>
      <c r="M822" s="3">
        <v>10</v>
      </c>
      <c r="N822" s="37">
        <v>1801.42</v>
      </c>
      <c r="O822" s="37">
        <v>180.14</v>
      </c>
      <c r="P822" s="53">
        <v>1621.28</v>
      </c>
      <c r="Q822" s="37">
        <v>618.77</v>
      </c>
      <c r="R822" s="37">
        <v>1002.51</v>
      </c>
      <c r="S822" s="3">
        <v>61.8</v>
      </c>
      <c r="T822" s="1" t="s">
        <v>33</v>
      </c>
      <c r="U822" s="15">
        <v>1</v>
      </c>
    </row>
    <row r="823" spans="1:21" x14ac:dyDescent="0.3">
      <c r="A823" s="14" t="s">
        <v>1160</v>
      </c>
      <c r="B823" s="46">
        <v>45593</v>
      </c>
      <c r="C823" s="4" t="s">
        <v>1072</v>
      </c>
      <c r="D823" s="42" t="s">
        <v>1376</v>
      </c>
      <c r="E823" s="4">
        <v>2024</v>
      </c>
      <c r="F823" s="4" t="s">
        <v>41</v>
      </c>
      <c r="G823" s="61" t="s">
        <v>91</v>
      </c>
      <c r="H823" s="5" t="s">
        <v>50</v>
      </c>
      <c r="I823" s="5" t="s">
        <v>55</v>
      </c>
      <c r="J823" s="5" t="s">
        <v>791</v>
      </c>
      <c r="K823" s="4">
        <v>13</v>
      </c>
      <c r="L823" s="38">
        <v>959.07</v>
      </c>
      <c r="M823" s="6">
        <v>20</v>
      </c>
      <c r="N823" s="38">
        <v>12467.91</v>
      </c>
      <c r="O823" s="38">
        <v>2493.58</v>
      </c>
      <c r="P823" s="54">
        <v>9974.33</v>
      </c>
      <c r="Q823" s="38">
        <v>5401.97</v>
      </c>
      <c r="R823" s="38">
        <v>4572.3599999999997</v>
      </c>
      <c r="S823" s="6">
        <v>45.8</v>
      </c>
      <c r="T823" s="4" t="s">
        <v>44</v>
      </c>
      <c r="U823" s="16">
        <v>4</v>
      </c>
    </row>
    <row r="824" spans="1:21" x14ac:dyDescent="0.3">
      <c r="A824" s="13" t="s">
        <v>1161</v>
      </c>
      <c r="B824" s="45">
        <v>45593</v>
      </c>
      <c r="C824" s="1" t="s">
        <v>1072</v>
      </c>
      <c r="D824" s="41" t="s">
        <v>1376</v>
      </c>
      <c r="E824" s="1">
        <v>2024</v>
      </c>
      <c r="F824" s="1" t="s">
        <v>35</v>
      </c>
      <c r="G824" s="60" t="s">
        <v>42</v>
      </c>
      <c r="H824" s="2" t="s">
        <v>59</v>
      </c>
      <c r="I824" s="2" t="s">
        <v>47</v>
      </c>
      <c r="J824" s="2" t="s">
        <v>73</v>
      </c>
      <c r="K824" s="1">
        <v>19</v>
      </c>
      <c r="L824" s="37">
        <v>350.87</v>
      </c>
      <c r="M824" s="3">
        <v>15</v>
      </c>
      <c r="N824" s="37">
        <v>6666.53</v>
      </c>
      <c r="O824" s="37">
        <v>999.98</v>
      </c>
      <c r="P824" s="53">
        <v>5666.55</v>
      </c>
      <c r="Q824" s="37">
        <v>2591.8200000000002</v>
      </c>
      <c r="R824" s="37">
        <v>3074.73</v>
      </c>
      <c r="S824" s="3">
        <v>54.3</v>
      </c>
      <c r="T824" s="1" t="s">
        <v>33</v>
      </c>
      <c r="U824" s="15">
        <v>3</v>
      </c>
    </row>
    <row r="825" spans="1:21" x14ac:dyDescent="0.3">
      <c r="A825" s="14" t="s">
        <v>1162</v>
      </c>
      <c r="B825" s="46">
        <v>45593</v>
      </c>
      <c r="C825" s="4" t="s">
        <v>1072</v>
      </c>
      <c r="D825" s="42" t="s">
        <v>1376</v>
      </c>
      <c r="E825" s="4">
        <v>2024</v>
      </c>
      <c r="F825" s="4" t="s">
        <v>22</v>
      </c>
      <c r="G825" s="61" t="s">
        <v>122</v>
      </c>
      <c r="H825" s="5" t="s">
        <v>50</v>
      </c>
      <c r="I825" s="5" t="s">
        <v>47</v>
      </c>
      <c r="J825" s="5" t="s">
        <v>522</v>
      </c>
      <c r="K825" s="4">
        <v>18</v>
      </c>
      <c r="L825" s="38">
        <v>57.65</v>
      </c>
      <c r="M825" s="6">
        <v>15</v>
      </c>
      <c r="N825" s="38">
        <v>1037.7</v>
      </c>
      <c r="O825" s="38">
        <v>155.66</v>
      </c>
      <c r="P825" s="54">
        <v>882.04</v>
      </c>
      <c r="Q825" s="38">
        <v>430.1</v>
      </c>
      <c r="R825" s="38">
        <v>451.94</v>
      </c>
      <c r="S825" s="6">
        <v>51.2</v>
      </c>
      <c r="T825" s="4" t="s">
        <v>44</v>
      </c>
      <c r="U825" s="16">
        <v>3</v>
      </c>
    </row>
    <row r="826" spans="1:21" x14ac:dyDescent="0.3">
      <c r="A826" s="13" t="s">
        <v>1163</v>
      </c>
      <c r="B826" s="45">
        <v>45593</v>
      </c>
      <c r="C826" s="1" t="s">
        <v>1072</v>
      </c>
      <c r="D826" s="41" t="s">
        <v>1376</v>
      </c>
      <c r="E826" s="1">
        <v>2024</v>
      </c>
      <c r="F826" s="1" t="s">
        <v>29</v>
      </c>
      <c r="G826" s="60" t="s">
        <v>42</v>
      </c>
      <c r="H826" s="2" t="s">
        <v>37</v>
      </c>
      <c r="I826" s="2" t="s">
        <v>55</v>
      </c>
      <c r="J826" s="2" t="s">
        <v>1031</v>
      </c>
      <c r="K826" s="1">
        <v>16</v>
      </c>
      <c r="L826" s="37">
        <v>907.28</v>
      </c>
      <c r="M826" s="3">
        <v>10</v>
      </c>
      <c r="N826" s="37">
        <v>14516.48</v>
      </c>
      <c r="O826" s="37">
        <v>1451.65</v>
      </c>
      <c r="P826" s="53">
        <v>13064.83</v>
      </c>
      <c r="Q826" s="37">
        <v>7180.07</v>
      </c>
      <c r="R826" s="37">
        <v>5884.76</v>
      </c>
      <c r="S826" s="3">
        <v>45</v>
      </c>
      <c r="T826" s="1" t="s">
        <v>33</v>
      </c>
      <c r="U826" s="15">
        <v>3</v>
      </c>
    </row>
    <row r="827" spans="1:21" x14ac:dyDescent="0.3">
      <c r="A827" s="14" t="s">
        <v>1164</v>
      </c>
      <c r="B827" s="46">
        <v>45593</v>
      </c>
      <c r="C827" s="4" t="s">
        <v>1072</v>
      </c>
      <c r="D827" s="42" t="s">
        <v>1376</v>
      </c>
      <c r="E827" s="4">
        <v>2024</v>
      </c>
      <c r="F827" s="4" t="s">
        <v>35</v>
      </c>
      <c r="G827" s="61" t="s">
        <v>42</v>
      </c>
      <c r="H827" s="5" t="s">
        <v>59</v>
      </c>
      <c r="I827" s="5" t="s">
        <v>38</v>
      </c>
      <c r="J827" s="5" t="s">
        <v>344</v>
      </c>
      <c r="K827" s="4">
        <v>5</v>
      </c>
      <c r="L827" s="38">
        <v>30.94</v>
      </c>
      <c r="M827" s="6">
        <v>20</v>
      </c>
      <c r="N827" s="38">
        <v>154.69999999999999</v>
      </c>
      <c r="O827" s="38">
        <v>30.94</v>
      </c>
      <c r="P827" s="54">
        <v>123.76</v>
      </c>
      <c r="Q827" s="38">
        <v>76.09</v>
      </c>
      <c r="R827" s="38">
        <v>47.67</v>
      </c>
      <c r="S827" s="6">
        <v>38.5</v>
      </c>
      <c r="T827" s="4" t="s">
        <v>33</v>
      </c>
      <c r="U827" s="16">
        <v>3</v>
      </c>
    </row>
    <row r="828" spans="1:21" x14ac:dyDescent="0.3">
      <c r="A828" s="13" t="s">
        <v>1165</v>
      </c>
      <c r="B828" s="45">
        <v>45593</v>
      </c>
      <c r="C828" s="1" t="s">
        <v>1072</v>
      </c>
      <c r="D828" s="41" t="s">
        <v>1376</v>
      </c>
      <c r="E828" s="1">
        <v>2024</v>
      </c>
      <c r="F828" s="1" t="s">
        <v>35</v>
      </c>
      <c r="G828" s="60" t="s">
        <v>66</v>
      </c>
      <c r="H828" s="2" t="s">
        <v>24</v>
      </c>
      <c r="I828" s="2" t="s">
        <v>55</v>
      </c>
      <c r="J828" s="2" t="s">
        <v>661</v>
      </c>
      <c r="K828" s="1">
        <v>2</v>
      </c>
      <c r="L828" s="37">
        <v>162.34</v>
      </c>
      <c r="M828" s="3">
        <v>0</v>
      </c>
      <c r="N828" s="37">
        <v>324.68</v>
      </c>
      <c r="O828" s="37">
        <v>0</v>
      </c>
      <c r="P828" s="53">
        <v>324.68</v>
      </c>
      <c r="Q828" s="37">
        <v>129.88999999999999</v>
      </c>
      <c r="R828" s="37">
        <v>194.79</v>
      </c>
      <c r="S828" s="3">
        <v>60</v>
      </c>
      <c r="T828" s="1" t="s">
        <v>27</v>
      </c>
      <c r="U828" s="15">
        <v>4</v>
      </c>
    </row>
    <row r="829" spans="1:21" x14ac:dyDescent="0.3">
      <c r="A829" s="14" t="s">
        <v>1166</v>
      </c>
      <c r="B829" s="46">
        <v>45594</v>
      </c>
      <c r="C829" s="4" t="s">
        <v>1072</v>
      </c>
      <c r="D829" s="42" t="s">
        <v>1376</v>
      </c>
      <c r="E829" s="4">
        <v>2024</v>
      </c>
      <c r="F829" s="4" t="s">
        <v>29</v>
      </c>
      <c r="G829" s="61" t="s">
        <v>66</v>
      </c>
      <c r="H829" s="5" t="s">
        <v>59</v>
      </c>
      <c r="I829" s="5" t="s">
        <v>25</v>
      </c>
      <c r="J829" s="5" t="s">
        <v>273</v>
      </c>
      <c r="K829" s="4">
        <v>12</v>
      </c>
      <c r="L829" s="38">
        <v>42.5</v>
      </c>
      <c r="M829" s="6">
        <v>15</v>
      </c>
      <c r="N829" s="38">
        <v>510</v>
      </c>
      <c r="O829" s="38">
        <v>76.5</v>
      </c>
      <c r="P829" s="54">
        <v>433.5</v>
      </c>
      <c r="Q829" s="38">
        <v>175.19</v>
      </c>
      <c r="R829" s="38">
        <v>258.31</v>
      </c>
      <c r="S829" s="6">
        <v>59.6</v>
      </c>
      <c r="T829" s="4" t="s">
        <v>27</v>
      </c>
      <c r="U829" s="16">
        <v>1</v>
      </c>
    </row>
    <row r="830" spans="1:21" x14ac:dyDescent="0.3">
      <c r="A830" s="13" t="s">
        <v>1167</v>
      </c>
      <c r="B830" s="45">
        <v>45595</v>
      </c>
      <c r="C830" s="1" t="s">
        <v>1072</v>
      </c>
      <c r="D830" s="41" t="s">
        <v>1376</v>
      </c>
      <c r="E830" s="1">
        <v>2024</v>
      </c>
      <c r="F830" s="1" t="s">
        <v>41</v>
      </c>
      <c r="G830" s="60" t="s">
        <v>23</v>
      </c>
      <c r="H830" s="2" t="s">
        <v>37</v>
      </c>
      <c r="I830" s="2" t="s">
        <v>25</v>
      </c>
      <c r="J830" s="2" t="s">
        <v>94</v>
      </c>
      <c r="K830" s="1">
        <v>1</v>
      </c>
      <c r="L830" s="37">
        <v>20.64</v>
      </c>
      <c r="M830" s="3">
        <v>15</v>
      </c>
      <c r="N830" s="37">
        <v>20.64</v>
      </c>
      <c r="O830" s="37">
        <v>3.1</v>
      </c>
      <c r="P830" s="53">
        <v>17.54</v>
      </c>
      <c r="Q830" s="37">
        <v>8.25</v>
      </c>
      <c r="R830" s="37">
        <v>9.2899999999999991</v>
      </c>
      <c r="S830" s="3">
        <v>53</v>
      </c>
      <c r="T830" s="1" t="s">
        <v>44</v>
      </c>
      <c r="U830" s="15">
        <v>5</v>
      </c>
    </row>
    <row r="831" spans="1:21" x14ac:dyDescent="0.3">
      <c r="A831" s="14" t="s">
        <v>1168</v>
      </c>
      <c r="B831" s="46">
        <v>45595</v>
      </c>
      <c r="C831" s="4" t="s">
        <v>1072</v>
      </c>
      <c r="D831" s="42" t="s">
        <v>1376</v>
      </c>
      <c r="E831" s="4">
        <v>2024</v>
      </c>
      <c r="F831" s="4" t="s">
        <v>22</v>
      </c>
      <c r="G831" s="61" t="s">
        <v>30</v>
      </c>
      <c r="H831" s="5" t="s">
        <v>37</v>
      </c>
      <c r="I831" s="5" t="s">
        <v>25</v>
      </c>
      <c r="J831" s="5" t="s">
        <v>308</v>
      </c>
      <c r="K831" s="4">
        <v>14</v>
      </c>
      <c r="L831" s="38">
        <v>94.72</v>
      </c>
      <c r="M831" s="6">
        <v>10</v>
      </c>
      <c r="N831" s="38">
        <v>1326.08</v>
      </c>
      <c r="O831" s="38">
        <v>132.61000000000001</v>
      </c>
      <c r="P831" s="54">
        <v>1193.47</v>
      </c>
      <c r="Q831" s="38">
        <v>538.55999999999995</v>
      </c>
      <c r="R831" s="38">
        <v>654.91</v>
      </c>
      <c r="S831" s="6">
        <v>54.9</v>
      </c>
      <c r="T831" s="4" t="s">
        <v>44</v>
      </c>
      <c r="U831" s="16">
        <v>3</v>
      </c>
    </row>
    <row r="832" spans="1:21" x14ac:dyDescent="0.3">
      <c r="A832" s="13" t="s">
        <v>1169</v>
      </c>
      <c r="B832" s="45">
        <v>45595</v>
      </c>
      <c r="C832" s="1" t="s">
        <v>1072</v>
      </c>
      <c r="D832" s="41" t="s">
        <v>1376</v>
      </c>
      <c r="E832" s="1">
        <v>2024</v>
      </c>
      <c r="F832" s="1" t="s">
        <v>22</v>
      </c>
      <c r="G832" s="60" t="s">
        <v>23</v>
      </c>
      <c r="H832" s="2" t="s">
        <v>24</v>
      </c>
      <c r="I832" s="2" t="s">
        <v>75</v>
      </c>
      <c r="J832" s="2" t="s">
        <v>269</v>
      </c>
      <c r="K832" s="1">
        <v>3</v>
      </c>
      <c r="L832" s="37">
        <v>255.2</v>
      </c>
      <c r="M832" s="3">
        <v>5</v>
      </c>
      <c r="N832" s="37">
        <v>765.6</v>
      </c>
      <c r="O832" s="37">
        <v>38.28</v>
      </c>
      <c r="P832" s="53">
        <v>727.32</v>
      </c>
      <c r="Q832" s="37">
        <v>289.08</v>
      </c>
      <c r="R832" s="37">
        <v>438.24</v>
      </c>
      <c r="S832" s="3">
        <v>60.3</v>
      </c>
      <c r="T832" s="1" t="s">
        <v>27</v>
      </c>
      <c r="U832" s="15">
        <v>4</v>
      </c>
    </row>
    <row r="833" spans="1:21" x14ac:dyDescent="0.3">
      <c r="A833" s="14" t="s">
        <v>1170</v>
      </c>
      <c r="B833" s="46">
        <v>45596</v>
      </c>
      <c r="C833" s="4" t="s">
        <v>1072</v>
      </c>
      <c r="D833" s="42" t="s">
        <v>1376</v>
      </c>
      <c r="E833" s="4">
        <v>2024</v>
      </c>
      <c r="F833" s="4" t="s">
        <v>41</v>
      </c>
      <c r="G833" s="61" t="s">
        <v>46</v>
      </c>
      <c r="H833" s="5" t="s">
        <v>50</v>
      </c>
      <c r="I833" s="5" t="s">
        <v>75</v>
      </c>
      <c r="J833" s="5" t="s">
        <v>233</v>
      </c>
      <c r="K833" s="4">
        <v>10</v>
      </c>
      <c r="L833" s="38">
        <v>248.35</v>
      </c>
      <c r="M833" s="6">
        <v>0</v>
      </c>
      <c r="N833" s="38">
        <v>2483.5</v>
      </c>
      <c r="O833" s="38">
        <v>0</v>
      </c>
      <c r="P833" s="54">
        <v>2483.5</v>
      </c>
      <c r="Q833" s="38">
        <v>1613.11</v>
      </c>
      <c r="R833" s="38">
        <v>870.39</v>
      </c>
      <c r="S833" s="6">
        <v>35</v>
      </c>
      <c r="T833" s="4" t="s">
        <v>44</v>
      </c>
      <c r="U833" s="16">
        <v>5</v>
      </c>
    </row>
    <row r="834" spans="1:21" x14ac:dyDescent="0.3">
      <c r="A834" s="13" t="s">
        <v>1171</v>
      </c>
      <c r="B834" s="45">
        <v>45596</v>
      </c>
      <c r="C834" s="1" t="s">
        <v>1072</v>
      </c>
      <c r="D834" s="41" t="s">
        <v>1376</v>
      </c>
      <c r="E834" s="1">
        <v>2024</v>
      </c>
      <c r="F834" s="1" t="s">
        <v>29</v>
      </c>
      <c r="G834" s="60" t="s">
        <v>122</v>
      </c>
      <c r="H834" s="2" t="s">
        <v>50</v>
      </c>
      <c r="I834" s="2" t="s">
        <v>25</v>
      </c>
      <c r="J834" s="2" t="s">
        <v>125</v>
      </c>
      <c r="K834" s="1">
        <v>20</v>
      </c>
      <c r="L834" s="37">
        <v>145.65</v>
      </c>
      <c r="M834" s="3">
        <v>10</v>
      </c>
      <c r="N834" s="37">
        <v>2913</v>
      </c>
      <c r="O834" s="37">
        <v>291.3</v>
      </c>
      <c r="P834" s="53">
        <v>2621.7</v>
      </c>
      <c r="Q834" s="37">
        <v>1266.03</v>
      </c>
      <c r="R834" s="37">
        <v>1355.67</v>
      </c>
      <c r="S834" s="3">
        <v>51.7</v>
      </c>
      <c r="T834" s="1" t="s">
        <v>44</v>
      </c>
      <c r="U834" s="15">
        <v>1</v>
      </c>
    </row>
    <row r="835" spans="1:21" x14ac:dyDescent="0.3">
      <c r="A835" s="14" t="s">
        <v>1172</v>
      </c>
      <c r="B835" s="46">
        <v>45596</v>
      </c>
      <c r="C835" s="4" t="s">
        <v>1072</v>
      </c>
      <c r="D835" s="42" t="s">
        <v>1376</v>
      </c>
      <c r="E835" s="4">
        <v>2024</v>
      </c>
      <c r="F835" s="4" t="s">
        <v>35</v>
      </c>
      <c r="G835" s="61" t="s">
        <v>23</v>
      </c>
      <c r="H835" s="5" t="s">
        <v>59</v>
      </c>
      <c r="I835" s="5" t="s">
        <v>25</v>
      </c>
      <c r="J835" s="5" t="s">
        <v>1173</v>
      </c>
      <c r="K835" s="4">
        <v>16</v>
      </c>
      <c r="L835" s="38">
        <v>55.69</v>
      </c>
      <c r="M835" s="6">
        <v>20</v>
      </c>
      <c r="N835" s="38">
        <v>891.04</v>
      </c>
      <c r="O835" s="38">
        <v>178.21</v>
      </c>
      <c r="P835" s="54">
        <v>712.83</v>
      </c>
      <c r="Q835" s="38">
        <v>324.83</v>
      </c>
      <c r="R835" s="38">
        <v>388</v>
      </c>
      <c r="S835" s="6">
        <v>54.4</v>
      </c>
      <c r="T835" s="4" t="s">
        <v>44</v>
      </c>
      <c r="U835" s="16">
        <v>4</v>
      </c>
    </row>
    <row r="836" spans="1:21" x14ac:dyDescent="0.3">
      <c r="A836" s="13" t="s">
        <v>1174</v>
      </c>
      <c r="B836" s="45">
        <v>45596</v>
      </c>
      <c r="C836" s="1" t="s">
        <v>1072</v>
      </c>
      <c r="D836" s="41" t="s">
        <v>1376</v>
      </c>
      <c r="E836" s="1">
        <v>2024</v>
      </c>
      <c r="F836" s="1" t="s">
        <v>41</v>
      </c>
      <c r="G836" s="60" t="s">
        <v>46</v>
      </c>
      <c r="H836" s="2" t="s">
        <v>37</v>
      </c>
      <c r="I836" s="2" t="s">
        <v>38</v>
      </c>
      <c r="J836" s="2" t="s">
        <v>431</v>
      </c>
      <c r="K836" s="1">
        <v>7</v>
      </c>
      <c r="L836" s="37">
        <v>52.56</v>
      </c>
      <c r="M836" s="3">
        <v>20</v>
      </c>
      <c r="N836" s="37">
        <v>367.92</v>
      </c>
      <c r="O836" s="37">
        <v>73.58</v>
      </c>
      <c r="P836" s="53">
        <v>294.33999999999997</v>
      </c>
      <c r="Q836" s="37">
        <v>130.85</v>
      </c>
      <c r="R836" s="37">
        <v>163.49</v>
      </c>
      <c r="S836" s="3">
        <v>55.5</v>
      </c>
      <c r="T836" s="1" t="s">
        <v>44</v>
      </c>
      <c r="U836" s="15">
        <v>3</v>
      </c>
    </row>
    <row r="837" spans="1:21" x14ac:dyDescent="0.3">
      <c r="A837" s="14" t="s">
        <v>1175</v>
      </c>
      <c r="B837" s="46">
        <v>45597</v>
      </c>
      <c r="C837" s="4" t="s">
        <v>1176</v>
      </c>
      <c r="D837" s="42" t="s">
        <v>1376</v>
      </c>
      <c r="E837" s="4">
        <v>2024</v>
      </c>
      <c r="F837" s="4" t="s">
        <v>29</v>
      </c>
      <c r="G837" s="61" t="s">
        <v>46</v>
      </c>
      <c r="H837" s="5" t="s">
        <v>37</v>
      </c>
      <c r="I837" s="5" t="s">
        <v>55</v>
      </c>
      <c r="J837" s="5" t="s">
        <v>424</v>
      </c>
      <c r="K837" s="4">
        <v>4</v>
      </c>
      <c r="L837" s="38">
        <v>951.08</v>
      </c>
      <c r="M837" s="6">
        <v>20</v>
      </c>
      <c r="N837" s="38">
        <v>3804.32</v>
      </c>
      <c r="O837" s="38">
        <v>760.86</v>
      </c>
      <c r="P837" s="54">
        <v>3043.46</v>
      </c>
      <c r="Q837" s="38">
        <v>1970.45</v>
      </c>
      <c r="R837" s="38">
        <v>1073.01</v>
      </c>
      <c r="S837" s="6">
        <v>35.299999999999997</v>
      </c>
      <c r="T837" s="4" t="s">
        <v>27</v>
      </c>
      <c r="U837" s="16">
        <v>4</v>
      </c>
    </row>
    <row r="838" spans="1:21" x14ac:dyDescent="0.3">
      <c r="A838" s="13" t="s">
        <v>1177</v>
      </c>
      <c r="B838" s="45">
        <v>45597</v>
      </c>
      <c r="C838" s="1" t="s">
        <v>1176</v>
      </c>
      <c r="D838" s="41" t="s">
        <v>1376</v>
      </c>
      <c r="E838" s="1">
        <v>2024</v>
      </c>
      <c r="F838" s="1" t="s">
        <v>29</v>
      </c>
      <c r="G838" s="60" t="s">
        <v>66</v>
      </c>
      <c r="H838" s="2" t="s">
        <v>24</v>
      </c>
      <c r="I838" s="2" t="s">
        <v>75</v>
      </c>
      <c r="J838" s="2" t="s">
        <v>440</v>
      </c>
      <c r="K838" s="1">
        <v>1</v>
      </c>
      <c r="L838" s="37">
        <v>193.96</v>
      </c>
      <c r="M838" s="3">
        <v>15</v>
      </c>
      <c r="N838" s="37">
        <v>193.96</v>
      </c>
      <c r="O838" s="37">
        <v>29.09</v>
      </c>
      <c r="P838" s="53">
        <v>164.87</v>
      </c>
      <c r="Q838" s="37">
        <v>73.760000000000005</v>
      </c>
      <c r="R838" s="37">
        <v>91.11</v>
      </c>
      <c r="S838" s="3">
        <v>55.3</v>
      </c>
      <c r="T838" s="1" t="s">
        <v>44</v>
      </c>
      <c r="U838" s="15">
        <v>4</v>
      </c>
    </row>
    <row r="839" spans="1:21" x14ac:dyDescent="0.3">
      <c r="A839" s="14" t="s">
        <v>1178</v>
      </c>
      <c r="B839" s="46">
        <v>45597</v>
      </c>
      <c r="C839" s="4" t="s">
        <v>1176</v>
      </c>
      <c r="D839" s="42" t="s">
        <v>1376</v>
      </c>
      <c r="E839" s="4">
        <v>2024</v>
      </c>
      <c r="F839" s="4" t="s">
        <v>29</v>
      </c>
      <c r="G839" s="61" t="s">
        <v>66</v>
      </c>
      <c r="H839" s="5" t="s">
        <v>37</v>
      </c>
      <c r="I839" s="5" t="s">
        <v>25</v>
      </c>
      <c r="J839" s="5" t="s">
        <v>513</v>
      </c>
      <c r="K839" s="4">
        <v>7</v>
      </c>
      <c r="L839" s="38">
        <v>41.94</v>
      </c>
      <c r="M839" s="6">
        <v>0</v>
      </c>
      <c r="N839" s="38">
        <v>293.58</v>
      </c>
      <c r="O839" s="38">
        <v>0</v>
      </c>
      <c r="P839" s="54">
        <v>293.58</v>
      </c>
      <c r="Q839" s="38">
        <v>135.49</v>
      </c>
      <c r="R839" s="38">
        <v>158.09</v>
      </c>
      <c r="S839" s="6">
        <v>53.8</v>
      </c>
      <c r="T839" s="4" t="s">
        <v>44</v>
      </c>
      <c r="U839" s="16">
        <v>1</v>
      </c>
    </row>
    <row r="840" spans="1:21" x14ac:dyDescent="0.3">
      <c r="A840" s="13" t="s">
        <v>1179</v>
      </c>
      <c r="B840" s="45">
        <v>45597</v>
      </c>
      <c r="C840" s="1" t="s">
        <v>1176</v>
      </c>
      <c r="D840" s="41" t="s">
        <v>1376</v>
      </c>
      <c r="E840" s="1">
        <v>2024</v>
      </c>
      <c r="F840" s="1" t="s">
        <v>29</v>
      </c>
      <c r="G840" s="60" t="s">
        <v>54</v>
      </c>
      <c r="H840" s="2" t="s">
        <v>37</v>
      </c>
      <c r="I840" s="2" t="s">
        <v>38</v>
      </c>
      <c r="J840" s="2" t="s">
        <v>443</v>
      </c>
      <c r="K840" s="1">
        <v>6</v>
      </c>
      <c r="L840" s="37">
        <v>46.48</v>
      </c>
      <c r="M840" s="3">
        <v>15</v>
      </c>
      <c r="N840" s="37">
        <v>278.88</v>
      </c>
      <c r="O840" s="37">
        <v>41.83</v>
      </c>
      <c r="P840" s="53">
        <v>237.05</v>
      </c>
      <c r="Q840" s="37">
        <v>137.31</v>
      </c>
      <c r="R840" s="37">
        <v>99.74</v>
      </c>
      <c r="S840" s="3">
        <v>42.1</v>
      </c>
      <c r="T840" s="1" t="s">
        <v>33</v>
      </c>
      <c r="U840" s="15">
        <v>3</v>
      </c>
    </row>
    <row r="841" spans="1:21" x14ac:dyDescent="0.3">
      <c r="A841" s="14" t="s">
        <v>1180</v>
      </c>
      <c r="B841" s="46">
        <v>45597</v>
      </c>
      <c r="C841" s="4" t="s">
        <v>1176</v>
      </c>
      <c r="D841" s="42" t="s">
        <v>1376</v>
      </c>
      <c r="E841" s="4">
        <v>2024</v>
      </c>
      <c r="F841" s="4" t="s">
        <v>22</v>
      </c>
      <c r="G841" s="61" t="s">
        <v>42</v>
      </c>
      <c r="H841" s="5" t="s">
        <v>50</v>
      </c>
      <c r="I841" s="5" t="s">
        <v>31</v>
      </c>
      <c r="J841" s="5" t="s">
        <v>349</v>
      </c>
      <c r="K841" s="4">
        <v>10</v>
      </c>
      <c r="L841" s="38">
        <v>84.45</v>
      </c>
      <c r="M841" s="6">
        <v>15</v>
      </c>
      <c r="N841" s="38">
        <v>844.5</v>
      </c>
      <c r="O841" s="38">
        <v>126.67</v>
      </c>
      <c r="P841" s="54">
        <v>717.83</v>
      </c>
      <c r="Q841" s="38">
        <v>343.97</v>
      </c>
      <c r="R841" s="38">
        <v>373.86</v>
      </c>
      <c r="S841" s="6">
        <v>52.1</v>
      </c>
      <c r="T841" s="4" t="s">
        <v>33</v>
      </c>
      <c r="U841" s="16">
        <v>5</v>
      </c>
    </row>
    <row r="842" spans="1:21" x14ac:dyDescent="0.3">
      <c r="A842" s="13" t="s">
        <v>1181</v>
      </c>
      <c r="B842" s="45">
        <v>45597</v>
      </c>
      <c r="C842" s="1" t="s">
        <v>1176</v>
      </c>
      <c r="D842" s="41" t="s">
        <v>1376</v>
      </c>
      <c r="E842" s="1">
        <v>2024</v>
      </c>
      <c r="F842" s="1" t="s">
        <v>29</v>
      </c>
      <c r="G842" s="60" t="s">
        <v>91</v>
      </c>
      <c r="H842" s="2" t="s">
        <v>50</v>
      </c>
      <c r="I842" s="2" t="s">
        <v>47</v>
      </c>
      <c r="J842" s="2" t="s">
        <v>615</v>
      </c>
      <c r="K842" s="1">
        <v>3</v>
      </c>
      <c r="L842" s="37">
        <v>109.15</v>
      </c>
      <c r="M842" s="3">
        <v>0</v>
      </c>
      <c r="N842" s="37">
        <v>327.45</v>
      </c>
      <c r="O842" s="37">
        <v>0</v>
      </c>
      <c r="P842" s="53">
        <v>327.45</v>
      </c>
      <c r="Q842" s="37">
        <v>185.91</v>
      </c>
      <c r="R842" s="37">
        <v>141.54</v>
      </c>
      <c r="S842" s="3">
        <v>43.2</v>
      </c>
      <c r="T842" s="1" t="s">
        <v>27</v>
      </c>
      <c r="U842" s="15">
        <v>1</v>
      </c>
    </row>
    <row r="843" spans="1:21" x14ac:dyDescent="0.3">
      <c r="A843" s="14" t="s">
        <v>1182</v>
      </c>
      <c r="B843" s="46">
        <v>45598</v>
      </c>
      <c r="C843" s="4" t="s">
        <v>1176</v>
      </c>
      <c r="D843" s="42" t="s">
        <v>1376</v>
      </c>
      <c r="E843" s="4">
        <v>2024</v>
      </c>
      <c r="F843" s="4" t="s">
        <v>41</v>
      </c>
      <c r="G843" s="61" t="s">
        <v>54</v>
      </c>
      <c r="H843" s="5" t="s">
        <v>59</v>
      </c>
      <c r="I843" s="5" t="s">
        <v>25</v>
      </c>
      <c r="J843" s="5" t="s">
        <v>67</v>
      </c>
      <c r="K843" s="4">
        <v>16</v>
      </c>
      <c r="L843" s="38">
        <v>92.02</v>
      </c>
      <c r="M843" s="6">
        <v>5</v>
      </c>
      <c r="N843" s="38">
        <v>1472.32</v>
      </c>
      <c r="O843" s="38">
        <v>73.62</v>
      </c>
      <c r="P843" s="54">
        <v>1398.7</v>
      </c>
      <c r="Q843" s="38">
        <v>744.84</v>
      </c>
      <c r="R843" s="38">
        <v>653.86</v>
      </c>
      <c r="S843" s="6">
        <v>46.7</v>
      </c>
      <c r="T843" s="4" t="s">
        <v>27</v>
      </c>
      <c r="U843" s="16">
        <v>1</v>
      </c>
    </row>
    <row r="844" spans="1:21" x14ac:dyDescent="0.3">
      <c r="A844" s="13" t="s">
        <v>1183</v>
      </c>
      <c r="B844" s="45">
        <v>45599</v>
      </c>
      <c r="C844" s="1" t="s">
        <v>1176</v>
      </c>
      <c r="D844" s="41" t="s">
        <v>1376</v>
      </c>
      <c r="E844" s="1">
        <v>2024</v>
      </c>
      <c r="F844" s="1" t="s">
        <v>35</v>
      </c>
      <c r="G844" s="60" t="s">
        <v>46</v>
      </c>
      <c r="H844" s="2" t="s">
        <v>59</v>
      </c>
      <c r="I844" s="2" t="s">
        <v>75</v>
      </c>
      <c r="J844" s="2" t="s">
        <v>440</v>
      </c>
      <c r="K844" s="1">
        <v>4</v>
      </c>
      <c r="L844" s="37">
        <v>167.53</v>
      </c>
      <c r="M844" s="3">
        <v>5</v>
      </c>
      <c r="N844" s="37">
        <v>670.12</v>
      </c>
      <c r="O844" s="37">
        <v>33.51</v>
      </c>
      <c r="P844" s="53">
        <v>636.61</v>
      </c>
      <c r="Q844" s="37">
        <v>330.36</v>
      </c>
      <c r="R844" s="37">
        <v>306.25</v>
      </c>
      <c r="S844" s="3">
        <v>48.1</v>
      </c>
      <c r="T844" s="1" t="s">
        <v>44</v>
      </c>
      <c r="U844" s="15">
        <v>2</v>
      </c>
    </row>
    <row r="845" spans="1:21" x14ac:dyDescent="0.3">
      <c r="A845" s="14" t="s">
        <v>1184</v>
      </c>
      <c r="B845" s="46">
        <v>45600</v>
      </c>
      <c r="C845" s="4" t="s">
        <v>1176</v>
      </c>
      <c r="D845" s="42" t="s">
        <v>1376</v>
      </c>
      <c r="E845" s="4">
        <v>2024</v>
      </c>
      <c r="F845" s="4" t="s">
        <v>35</v>
      </c>
      <c r="G845" s="61" t="s">
        <v>23</v>
      </c>
      <c r="H845" s="5" t="s">
        <v>50</v>
      </c>
      <c r="I845" s="5" t="s">
        <v>25</v>
      </c>
      <c r="J845" s="5" t="s">
        <v>216</v>
      </c>
      <c r="K845" s="4">
        <v>10</v>
      </c>
      <c r="L845" s="38">
        <v>118.1</v>
      </c>
      <c r="M845" s="6">
        <v>5</v>
      </c>
      <c r="N845" s="38">
        <v>1181</v>
      </c>
      <c r="O845" s="38">
        <v>59.05</v>
      </c>
      <c r="P845" s="54">
        <v>1121.95</v>
      </c>
      <c r="Q845" s="38">
        <v>464.69</v>
      </c>
      <c r="R845" s="38">
        <v>657.26</v>
      </c>
      <c r="S845" s="6">
        <v>58.6</v>
      </c>
      <c r="T845" s="4" t="s">
        <v>44</v>
      </c>
      <c r="U845" s="16">
        <v>1</v>
      </c>
    </row>
    <row r="846" spans="1:21" x14ac:dyDescent="0.3">
      <c r="A846" s="13" t="s">
        <v>1185</v>
      </c>
      <c r="B846" s="45">
        <v>45600</v>
      </c>
      <c r="C846" s="1" t="s">
        <v>1176</v>
      </c>
      <c r="D846" s="41" t="s">
        <v>1376</v>
      </c>
      <c r="E846" s="1">
        <v>2024</v>
      </c>
      <c r="F846" s="1" t="s">
        <v>53</v>
      </c>
      <c r="G846" s="60" t="s">
        <v>54</v>
      </c>
      <c r="H846" s="2" t="s">
        <v>24</v>
      </c>
      <c r="I846" s="2" t="s">
        <v>31</v>
      </c>
      <c r="J846" s="2" t="s">
        <v>145</v>
      </c>
      <c r="K846" s="1">
        <v>13</v>
      </c>
      <c r="L846" s="37">
        <v>69.650000000000006</v>
      </c>
      <c r="M846" s="3">
        <v>20</v>
      </c>
      <c r="N846" s="37">
        <v>905.45</v>
      </c>
      <c r="O846" s="37">
        <v>181.09</v>
      </c>
      <c r="P846" s="53">
        <v>724.36</v>
      </c>
      <c r="Q846" s="37">
        <v>419.92</v>
      </c>
      <c r="R846" s="37">
        <v>304.44</v>
      </c>
      <c r="S846" s="3">
        <v>42</v>
      </c>
      <c r="T846" s="1" t="s">
        <v>33</v>
      </c>
      <c r="U846" s="15">
        <v>1</v>
      </c>
    </row>
    <row r="847" spans="1:21" x14ac:dyDescent="0.3">
      <c r="A847" s="14" t="s">
        <v>1186</v>
      </c>
      <c r="B847" s="46">
        <v>45601</v>
      </c>
      <c r="C847" s="4" t="s">
        <v>1176</v>
      </c>
      <c r="D847" s="42" t="s">
        <v>1376</v>
      </c>
      <c r="E847" s="4">
        <v>2024</v>
      </c>
      <c r="F847" s="4" t="s">
        <v>41</v>
      </c>
      <c r="G847" s="61" t="s">
        <v>91</v>
      </c>
      <c r="H847" s="5" t="s">
        <v>37</v>
      </c>
      <c r="I847" s="5" t="s">
        <v>55</v>
      </c>
      <c r="J847" s="5" t="s">
        <v>990</v>
      </c>
      <c r="K847" s="4">
        <v>16</v>
      </c>
      <c r="L847" s="38">
        <v>333.42</v>
      </c>
      <c r="M847" s="6">
        <v>15</v>
      </c>
      <c r="N847" s="38">
        <v>5334.72</v>
      </c>
      <c r="O847" s="38">
        <v>800.21</v>
      </c>
      <c r="P847" s="54">
        <v>4534.51</v>
      </c>
      <c r="Q847" s="38">
        <v>2846.97</v>
      </c>
      <c r="R847" s="38">
        <v>1687.54</v>
      </c>
      <c r="S847" s="6">
        <v>37.200000000000003</v>
      </c>
      <c r="T847" s="4" t="s">
        <v>27</v>
      </c>
      <c r="U847" s="16">
        <v>2</v>
      </c>
    </row>
    <row r="848" spans="1:21" x14ac:dyDescent="0.3">
      <c r="A848" s="13" t="s">
        <v>1187</v>
      </c>
      <c r="B848" s="45">
        <v>45601</v>
      </c>
      <c r="C848" s="1" t="s">
        <v>1176</v>
      </c>
      <c r="D848" s="41" t="s">
        <v>1376</v>
      </c>
      <c r="E848" s="1">
        <v>2024</v>
      </c>
      <c r="F848" s="1" t="s">
        <v>53</v>
      </c>
      <c r="G848" s="60" t="s">
        <v>23</v>
      </c>
      <c r="H848" s="2" t="s">
        <v>59</v>
      </c>
      <c r="I848" s="2" t="s">
        <v>75</v>
      </c>
      <c r="J848" s="2" t="s">
        <v>499</v>
      </c>
      <c r="K848" s="1">
        <v>16</v>
      </c>
      <c r="L848" s="37">
        <v>52.57</v>
      </c>
      <c r="M848" s="3">
        <v>0</v>
      </c>
      <c r="N848" s="37">
        <v>841.12</v>
      </c>
      <c r="O848" s="37">
        <v>0</v>
      </c>
      <c r="P848" s="53">
        <v>841.12</v>
      </c>
      <c r="Q848" s="37">
        <v>358.51</v>
      </c>
      <c r="R848" s="37">
        <v>482.61</v>
      </c>
      <c r="S848" s="3">
        <v>57.4</v>
      </c>
      <c r="T848" s="1" t="s">
        <v>33</v>
      </c>
      <c r="U848" s="15">
        <v>1</v>
      </c>
    </row>
    <row r="849" spans="1:21" x14ac:dyDescent="0.3">
      <c r="A849" s="14" t="s">
        <v>1188</v>
      </c>
      <c r="B849" s="46">
        <v>45602</v>
      </c>
      <c r="C849" s="4" t="s">
        <v>1176</v>
      </c>
      <c r="D849" s="42" t="s">
        <v>1376</v>
      </c>
      <c r="E849" s="4">
        <v>2024</v>
      </c>
      <c r="F849" s="4" t="s">
        <v>41</v>
      </c>
      <c r="G849" s="61" t="s">
        <v>46</v>
      </c>
      <c r="H849" s="5" t="s">
        <v>59</v>
      </c>
      <c r="I849" s="5" t="s">
        <v>55</v>
      </c>
      <c r="J849" s="5" t="s">
        <v>155</v>
      </c>
      <c r="K849" s="4">
        <v>9</v>
      </c>
      <c r="L849" s="38">
        <v>358.17</v>
      </c>
      <c r="M849" s="6">
        <v>10</v>
      </c>
      <c r="N849" s="38">
        <v>3223.53</v>
      </c>
      <c r="O849" s="38">
        <v>322.35000000000002</v>
      </c>
      <c r="P849" s="54">
        <v>2901.18</v>
      </c>
      <c r="Q849" s="38">
        <v>1852.39</v>
      </c>
      <c r="R849" s="38">
        <v>1048.79</v>
      </c>
      <c r="S849" s="6">
        <v>36.200000000000003</v>
      </c>
      <c r="T849" s="4" t="s">
        <v>27</v>
      </c>
      <c r="U849" s="16">
        <v>3</v>
      </c>
    </row>
    <row r="850" spans="1:21" x14ac:dyDescent="0.3">
      <c r="A850" s="13" t="s">
        <v>1189</v>
      </c>
      <c r="B850" s="45">
        <v>45602</v>
      </c>
      <c r="C850" s="1" t="s">
        <v>1176</v>
      </c>
      <c r="D850" s="41" t="s">
        <v>1376</v>
      </c>
      <c r="E850" s="1">
        <v>2024</v>
      </c>
      <c r="F850" s="1" t="s">
        <v>29</v>
      </c>
      <c r="G850" s="60" t="s">
        <v>30</v>
      </c>
      <c r="H850" s="2" t="s">
        <v>50</v>
      </c>
      <c r="I850" s="2" t="s">
        <v>47</v>
      </c>
      <c r="J850" s="2" t="s">
        <v>644</v>
      </c>
      <c r="K850" s="1">
        <v>3</v>
      </c>
      <c r="L850" s="37">
        <v>202.4</v>
      </c>
      <c r="M850" s="3">
        <v>0</v>
      </c>
      <c r="N850" s="37">
        <v>607.20000000000005</v>
      </c>
      <c r="O850" s="37">
        <v>0</v>
      </c>
      <c r="P850" s="53">
        <v>607.20000000000005</v>
      </c>
      <c r="Q850" s="37">
        <v>294.04000000000002</v>
      </c>
      <c r="R850" s="37">
        <v>313.16000000000003</v>
      </c>
      <c r="S850" s="3">
        <v>51.6</v>
      </c>
      <c r="T850" s="1" t="s">
        <v>33</v>
      </c>
      <c r="U850" s="15">
        <v>4</v>
      </c>
    </row>
    <row r="851" spans="1:21" x14ac:dyDescent="0.3">
      <c r="A851" s="14" t="s">
        <v>1190</v>
      </c>
      <c r="B851" s="46">
        <v>45602</v>
      </c>
      <c r="C851" s="4" t="s">
        <v>1176</v>
      </c>
      <c r="D851" s="42" t="s">
        <v>1376</v>
      </c>
      <c r="E851" s="4">
        <v>2024</v>
      </c>
      <c r="F851" s="4" t="s">
        <v>53</v>
      </c>
      <c r="G851" s="61" t="s">
        <v>58</v>
      </c>
      <c r="H851" s="5" t="s">
        <v>24</v>
      </c>
      <c r="I851" s="5" t="s">
        <v>38</v>
      </c>
      <c r="J851" s="5" t="s">
        <v>39</v>
      </c>
      <c r="K851" s="4">
        <v>18</v>
      </c>
      <c r="L851" s="38">
        <v>63.79</v>
      </c>
      <c r="M851" s="6">
        <v>0</v>
      </c>
      <c r="N851" s="38">
        <v>1148.22</v>
      </c>
      <c r="O851" s="38">
        <v>0</v>
      </c>
      <c r="P851" s="54">
        <v>1148.22</v>
      </c>
      <c r="Q851" s="38">
        <v>538.66</v>
      </c>
      <c r="R851" s="38">
        <v>609.55999999999995</v>
      </c>
      <c r="S851" s="6">
        <v>53.1</v>
      </c>
      <c r="T851" s="4" t="s">
        <v>33</v>
      </c>
      <c r="U851" s="16">
        <v>2</v>
      </c>
    </row>
    <row r="852" spans="1:21" x14ac:dyDescent="0.3">
      <c r="A852" s="13" t="s">
        <v>1191</v>
      </c>
      <c r="B852" s="45">
        <v>45602</v>
      </c>
      <c r="C852" s="1" t="s">
        <v>1176</v>
      </c>
      <c r="D852" s="41" t="s">
        <v>1376</v>
      </c>
      <c r="E852" s="1">
        <v>2024</v>
      </c>
      <c r="F852" s="1" t="s">
        <v>29</v>
      </c>
      <c r="G852" s="60" t="s">
        <v>46</v>
      </c>
      <c r="H852" s="2" t="s">
        <v>24</v>
      </c>
      <c r="I852" s="2" t="s">
        <v>55</v>
      </c>
      <c r="J852" s="2" t="s">
        <v>385</v>
      </c>
      <c r="K852" s="1">
        <v>13</v>
      </c>
      <c r="L852" s="37">
        <v>227.42</v>
      </c>
      <c r="M852" s="3">
        <v>15</v>
      </c>
      <c r="N852" s="37">
        <v>2956.46</v>
      </c>
      <c r="O852" s="37">
        <v>443.47</v>
      </c>
      <c r="P852" s="53">
        <v>2512.9899999999998</v>
      </c>
      <c r="Q852" s="37">
        <v>1427.11</v>
      </c>
      <c r="R852" s="37">
        <v>1085.8800000000001</v>
      </c>
      <c r="S852" s="3">
        <v>43.2</v>
      </c>
      <c r="T852" s="1" t="s">
        <v>27</v>
      </c>
      <c r="U852" s="15">
        <v>2</v>
      </c>
    </row>
    <row r="853" spans="1:21" x14ac:dyDescent="0.3">
      <c r="A853" s="14" t="s">
        <v>1192</v>
      </c>
      <c r="B853" s="46">
        <v>45602</v>
      </c>
      <c r="C853" s="4" t="s">
        <v>1176</v>
      </c>
      <c r="D853" s="42" t="s">
        <v>1376</v>
      </c>
      <c r="E853" s="4">
        <v>2024</v>
      </c>
      <c r="F853" s="4" t="s">
        <v>41</v>
      </c>
      <c r="G853" s="61" t="s">
        <v>42</v>
      </c>
      <c r="H853" s="5" t="s">
        <v>50</v>
      </c>
      <c r="I853" s="5" t="s">
        <v>25</v>
      </c>
      <c r="J853" s="5" t="s">
        <v>631</v>
      </c>
      <c r="K853" s="4">
        <v>6</v>
      </c>
      <c r="L853" s="38">
        <v>64.55</v>
      </c>
      <c r="M853" s="6">
        <v>0</v>
      </c>
      <c r="N853" s="38">
        <v>387.3</v>
      </c>
      <c r="O853" s="38">
        <v>0</v>
      </c>
      <c r="P853" s="54">
        <v>387.3</v>
      </c>
      <c r="Q853" s="38">
        <v>249.76</v>
      </c>
      <c r="R853" s="38">
        <v>137.54</v>
      </c>
      <c r="S853" s="6">
        <v>35.5</v>
      </c>
      <c r="T853" s="4" t="s">
        <v>44</v>
      </c>
      <c r="U853" s="16">
        <v>1</v>
      </c>
    </row>
    <row r="854" spans="1:21" x14ac:dyDescent="0.3">
      <c r="A854" s="13" t="s">
        <v>1193</v>
      </c>
      <c r="B854" s="45">
        <v>45602</v>
      </c>
      <c r="C854" s="1" t="s">
        <v>1176</v>
      </c>
      <c r="D854" s="41" t="s">
        <v>1376</v>
      </c>
      <c r="E854" s="1">
        <v>2024</v>
      </c>
      <c r="F854" s="1" t="s">
        <v>22</v>
      </c>
      <c r="G854" s="60" t="s">
        <v>42</v>
      </c>
      <c r="H854" s="2" t="s">
        <v>24</v>
      </c>
      <c r="I854" s="2" t="s">
        <v>38</v>
      </c>
      <c r="J854" s="2" t="s">
        <v>320</v>
      </c>
      <c r="K854" s="1">
        <v>12</v>
      </c>
      <c r="L854" s="37">
        <v>32.049999999999997</v>
      </c>
      <c r="M854" s="3">
        <v>0</v>
      </c>
      <c r="N854" s="37">
        <v>384.6</v>
      </c>
      <c r="O854" s="37">
        <v>0</v>
      </c>
      <c r="P854" s="53">
        <v>384.6</v>
      </c>
      <c r="Q854" s="37">
        <v>203.35</v>
      </c>
      <c r="R854" s="37">
        <v>181.25</v>
      </c>
      <c r="S854" s="3">
        <v>47.1</v>
      </c>
      <c r="T854" s="1" t="s">
        <v>44</v>
      </c>
      <c r="U854" s="15">
        <v>2</v>
      </c>
    </row>
    <row r="855" spans="1:21" x14ac:dyDescent="0.3">
      <c r="A855" s="14" t="s">
        <v>1194</v>
      </c>
      <c r="B855" s="46">
        <v>45603</v>
      </c>
      <c r="C855" s="4" t="s">
        <v>1176</v>
      </c>
      <c r="D855" s="42" t="s">
        <v>1376</v>
      </c>
      <c r="E855" s="4">
        <v>2024</v>
      </c>
      <c r="F855" s="4" t="s">
        <v>22</v>
      </c>
      <c r="G855" s="61" t="s">
        <v>58</v>
      </c>
      <c r="H855" s="5" t="s">
        <v>37</v>
      </c>
      <c r="I855" s="5" t="s">
        <v>31</v>
      </c>
      <c r="J855" s="5" t="s">
        <v>1128</v>
      </c>
      <c r="K855" s="4">
        <v>13</v>
      </c>
      <c r="L855" s="38">
        <v>31.93</v>
      </c>
      <c r="M855" s="6">
        <v>10</v>
      </c>
      <c r="N855" s="38">
        <v>415.09</v>
      </c>
      <c r="O855" s="38">
        <v>41.51</v>
      </c>
      <c r="P855" s="54">
        <v>373.58</v>
      </c>
      <c r="Q855" s="38">
        <v>188.76</v>
      </c>
      <c r="R855" s="38">
        <v>184.82</v>
      </c>
      <c r="S855" s="6">
        <v>49.5</v>
      </c>
      <c r="T855" s="4" t="s">
        <v>44</v>
      </c>
      <c r="U855" s="16">
        <v>3</v>
      </c>
    </row>
    <row r="856" spans="1:21" x14ac:dyDescent="0.3">
      <c r="A856" s="13" t="s">
        <v>1195</v>
      </c>
      <c r="B856" s="45">
        <v>45603</v>
      </c>
      <c r="C856" s="1" t="s">
        <v>1176</v>
      </c>
      <c r="D856" s="41" t="s">
        <v>1376</v>
      </c>
      <c r="E856" s="1">
        <v>2024</v>
      </c>
      <c r="F856" s="1" t="s">
        <v>22</v>
      </c>
      <c r="G856" s="60" t="s">
        <v>46</v>
      </c>
      <c r="H856" s="2" t="s">
        <v>24</v>
      </c>
      <c r="I856" s="2" t="s">
        <v>55</v>
      </c>
      <c r="J856" s="2" t="s">
        <v>223</v>
      </c>
      <c r="K856" s="1">
        <v>12</v>
      </c>
      <c r="L856" s="37">
        <v>1134.4000000000001</v>
      </c>
      <c r="M856" s="3">
        <v>20</v>
      </c>
      <c r="N856" s="37">
        <v>13612.8</v>
      </c>
      <c r="O856" s="37">
        <v>2722.56</v>
      </c>
      <c r="P856" s="53">
        <v>10890.24</v>
      </c>
      <c r="Q856" s="37">
        <v>7057.13</v>
      </c>
      <c r="R856" s="37">
        <v>3833.11</v>
      </c>
      <c r="S856" s="3">
        <v>35.200000000000003</v>
      </c>
      <c r="T856" s="1" t="s">
        <v>44</v>
      </c>
      <c r="U856" s="15">
        <v>5</v>
      </c>
    </row>
    <row r="857" spans="1:21" x14ac:dyDescent="0.3">
      <c r="A857" s="14" t="s">
        <v>1196</v>
      </c>
      <c r="B857" s="46">
        <v>45604</v>
      </c>
      <c r="C857" s="4" t="s">
        <v>1176</v>
      </c>
      <c r="D857" s="42" t="s">
        <v>1376</v>
      </c>
      <c r="E857" s="4">
        <v>2024</v>
      </c>
      <c r="F857" s="4" t="s">
        <v>22</v>
      </c>
      <c r="G857" s="61" t="s">
        <v>46</v>
      </c>
      <c r="H857" s="5" t="s">
        <v>59</v>
      </c>
      <c r="I857" s="5" t="s">
        <v>31</v>
      </c>
      <c r="J857" s="5" t="s">
        <v>349</v>
      </c>
      <c r="K857" s="4">
        <v>6</v>
      </c>
      <c r="L857" s="38">
        <v>97.28</v>
      </c>
      <c r="M857" s="6">
        <v>20</v>
      </c>
      <c r="N857" s="38">
        <v>583.67999999999995</v>
      </c>
      <c r="O857" s="38">
        <v>116.74</v>
      </c>
      <c r="P857" s="54">
        <v>466.94</v>
      </c>
      <c r="Q857" s="38">
        <v>205.71</v>
      </c>
      <c r="R857" s="38">
        <v>261.23</v>
      </c>
      <c r="S857" s="6">
        <v>55.9</v>
      </c>
      <c r="T857" s="4" t="s">
        <v>44</v>
      </c>
      <c r="U857" s="16">
        <v>1</v>
      </c>
    </row>
    <row r="858" spans="1:21" x14ac:dyDescent="0.3">
      <c r="A858" s="13" t="s">
        <v>1197</v>
      </c>
      <c r="B858" s="45">
        <v>45604</v>
      </c>
      <c r="C858" s="1" t="s">
        <v>1176</v>
      </c>
      <c r="D858" s="41" t="s">
        <v>1376</v>
      </c>
      <c r="E858" s="1">
        <v>2024</v>
      </c>
      <c r="F858" s="1" t="s">
        <v>35</v>
      </c>
      <c r="G858" s="60" t="s">
        <v>42</v>
      </c>
      <c r="H858" s="2" t="s">
        <v>37</v>
      </c>
      <c r="I858" s="2" t="s">
        <v>38</v>
      </c>
      <c r="J858" s="2" t="s">
        <v>247</v>
      </c>
      <c r="K858" s="1">
        <v>15</v>
      </c>
      <c r="L858" s="37">
        <v>62.1</v>
      </c>
      <c r="M858" s="3">
        <v>20</v>
      </c>
      <c r="N858" s="37">
        <v>931.5</v>
      </c>
      <c r="O858" s="37">
        <v>186.3</v>
      </c>
      <c r="P858" s="53">
        <v>745.2</v>
      </c>
      <c r="Q858" s="37">
        <v>327.96</v>
      </c>
      <c r="R858" s="37">
        <v>417.24</v>
      </c>
      <c r="S858" s="3">
        <v>56</v>
      </c>
      <c r="T858" s="1" t="s">
        <v>27</v>
      </c>
      <c r="U858" s="15">
        <v>1</v>
      </c>
    </row>
    <row r="859" spans="1:21" x14ac:dyDescent="0.3">
      <c r="A859" s="14" t="s">
        <v>1198</v>
      </c>
      <c r="B859" s="46">
        <v>45604</v>
      </c>
      <c r="C859" s="4" t="s">
        <v>1176</v>
      </c>
      <c r="D859" s="42" t="s">
        <v>1376</v>
      </c>
      <c r="E859" s="4">
        <v>2024</v>
      </c>
      <c r="F859" s="4" t="s">
        <v>22</v>
      </c>
      <c r="G859" s="61" t="s">
        <v>54</v>
      </c>
      <c r="H859" s="5" t="s">
        <v>59</v>
      </c>
      <c r="I859" s="5" t="s">
        <v>75</v>
      </c>
      <c r="J859" s="5" t="s">
        <v>284</v>
      </c>
      <c r="K859" s="4">
        <v>2</v>
      </c>
      <c r="L859" s="38">
        <v>63.34</v>
      </c>
      <c r="M859" s="6">
        <v>20</v>
      </c>
      <c r="N859" s="38">
        <v>126.68</v>
      </c>
      <c r="O859" s="38">
        <v>25.34</v>
      </c>
      <c r="P859" s="54">
        <v>101.34</v>
      </c>
      <c r="Q859" s="38">
        <v>42.21</v>
      </c>
      <c r="R859" s="38">
        <v>59.13</v>
      </c>
      <c r="S859" s="6">
        <v>58.3</v>
      </c>
      <c r="T859" s="4" t="s">
        <v>44</v>
      </c>
      <c r="U859" s="16">
        <v>3</v>
      </c>
    </row>
    <row r="860" spans="1:21" x14ac:dyDescent="0.3">
      <c r="A860" s="13" t="s">
        <v>1199</v>
      </c>
      <c r="B860" s="45">
        <v>45605</v>
      </c>
      <c r="C860" s="1" t="s">
        <v>1176</v>
      </c>
      <c r="D860" s="41" t="s">
        <v>1376</v>
      </c>
      <c r="E860" s="1">
        <v>2024</v>
      </c>
      <c r="F860" s="1" t="s">
        <v>41</v>
      </c>
      <c r="G860" s="60" t="s">
        <v>42</v>
      </c>
      <c r="H860" s="2" t="s">
        <v>24</v>
      </c>
      <c r="I860" s="2" t="s">
        <v>75</v>
      </c>
      <c r="J860" s="2" t="s">
        <v>1200</v>
      </c>
      <c r="K860" s="1">
        <v>9</v>
      </c>
      <c r="L860" s="37">
        <v>57.74</v>
      </c>
      <c r="M860" s="3">
        <v>5</v>
      </c>
      <c r="N860" s="37">
        <v>519.66</v>
      </c>
      <c r="O860" s="37">
        <v>25.98</v>
      </c>
      <c r="P860" s="53">
        <v>493.68</v>
      </c>
      <c r="Q860" s="37">
        <v>299.52</v>
      </c>
      <c r="R860" s="37">
        <v>194.16</v>
      </c>
      <c r="S860" s="3">
        <v>39.299999999999997</v>
      </c>
      <c r="T860" s="1" t="s">
        <v>27</v>
      </c>
      <c r="U860" s="15">
        <v>1</v>
      </c>
    </row>
    <row r="861" spans="1:21" x14ac:dyDescent="0.3">
      <c r="A861" s="14" t="s">
        <v>1201</v>
      </c>
      <c r="B861" s="46">
        <v>45605</v>
      </c>
      <c r="C861" s="4" t="s">
        <v>1176</v>
      </c>
      <c r="D861" s="42" t="s">
        <v>1376</v>
      </c>
      <c r="E861" s="4">
        <v>2024</v>
      </c>
      <c r="F861" s="4" t="s">
        <v>22</v>
      </c>
      <c r="G861" s="61" t="s">
        <v>66</v>
      </c>
      <c r="H861" s="5" t="s">
        <v>59</v>
      </c>
      <c r="I861" s="5" t="s">
        <v>25</v>
      </c>
      <c r="J861" s="5" t="s">
        <v>71</v>
      </c>
      <c r="K861" s="4">
        <v>15</v>
      </c>
      <c r="L861" s="38">
        <v>70.34</v>
      </c>
      <c r="M861" s="6">
        <v>20</v>
      </c>
      <c r="N861" s="38">
        <v>1055.0999999999999</v>
      </c>
      <c r="O861" s="38">
        <v>211.02</v>
      </c>
      <c r="P861" s="54">
        <v>844.08</v>
      </c>
      <c r="Q861" s="38">
        <v>300.92</v>
      </c>
      <c r="R861" s="38">
        <v>543.16</v>
      </c>
      <c r="S861" s="6">
        <v>64.3</v>
      </c>
      <c r="T861" s="4" t="s">
        <v>44</v>
      </c>
      <c r="U861" s="16">
        <v>1</v>
      </c>
    </row>
    <row r="862" spans="1:21" x14ac:dyDescent="0.3">
      <c r="A862" s="13" t="s">
        <v>1202</v>
      </c>
      <c r="B862" s="45">
        <v>45607</v>
      </c>
      <c r="C862" s="1" t="s">
        <v>1176</v>
      </c>
      <c r="D862" s="41" t="s">
        <v>1376</v>
      </c>
      <c r="E862" s="1">
        <v>2024</v>
      </c>
      <c r="F862" s="1" t="s">
        <v>35</v>
      </c>
      <c r="G862" s="60" t="s">
        <v>23</v>
      </c>
      <c r="H862" s="2" t="s">
        <v>50</v>
      </c>
      <c r="I862" s="2" t="s">
        <v>25</v>
      </c>
      <c r="J862" s="2" t="s">
        <v>702</v>
      </c>
      <c r="K862" s="1">
        <v>15</v>
      </c>
      <c r="L862" s="37">
        <v>87.98</v>
      </c>
      <c r="M862" s="3">
        <v>0</v>
      </c>
      <c r="N862" s="37">
        <v>1319.7</v>
      </c>
      <c r="O862" s="37">
        <v>0</v>
      </c>
      <c r="P862" s="53">
        <v>1319.7</v>
      </c>
      <c r="Q862" s="37">
        <v>787.31</v>
      </c>
      <c r="R862" s="37">
        <v>532.39</v>
      </c>
      <c r="S862" s="3">
        <v>40.299999999999997</v>
      </c>
      <c r="T862" s="1" t="s">
        <v>27</v>
      </c>
      <c r="U862" s="15">
        <v>1</v>
      </c>
    </row>
    <row r="863" spans="1:21" x14ac:dyDescent="0.3">
      <c r="A863" s="14" t="s">
        <v>1203</v>
      </c>
      <c r="B863" s="46">
        <v>45607</v>
      </c>
      <c r="C863" s="4" t="s">
        <v>1176</v>
      </c>
      <c r="D863" s="42" t="s">
        <v>1376</v>
      </c>
      <c r="E863" s="4">
        <v>2024</v>
      </c>
      <c r="F863" s="4" t="s">
        <v>29</v>
      </c>
      <c r="G863" s="61" t="s">
        <v>91</v>
      </c>
      <c r="H863" s="5" t="s">
        <v>59</v>
      </c>
      <c r="I863" s="5" t="s">
        <v>25</v>
      </c>
      <c r="J863" s="5" t="s">
        <v>26</v>
      </c>
      <c r="K863" s="4">
        <v>9</v>
      </c>
      <c r="L863" s="38">
        <v>81.739999999999995</v>
      </c>
      <c r="M863" s="6">
        <v>15</v>
      </c>
      <c r="N863" s="38">
        <v>735.66</v>
      </c>
      <c r="O863" s="38">
        <v>110.35</v>
      </c>
      <c r="P863" s="54">
        <v>625.30999999999995</v>
      </c>
      <c r="Q863" s="38">
        <v>348.24</v>
      </c>
      <c r="R863" s="38">
        <v>277.07</v>
      </c>
      <c r="S863" s="6">
        <v>44.3</v>
      </c>
      <c r="T863" s="4" t="s">
        <v>33</v>
      </c>
      <c r="U863" s="16">
        <v>3</v>
      </c>
    </row>
    <row r="864" spans="1:21" x14ac:dyDescent="0.3">
      <c r="A864" s="13" t="s">
        <v>1204</v>
      </c>
      <c r="B864" s="45">
        <v>45608</v>
      </c>
      <c r="C864" s="1" t="s">
        <v>1176</v>
      </c>
      <c r="D864" s="41" t="s">
        <v>1376</v>
      </c>
      <c r="E864" s="1">
        <v>2024</v>
      </c>
      <c r="F864" s="1" t="s">
        <v>53</v>
      </c>
      <c r="G864" s="60" t="s">
        <v>46</v>
      </c>
      <c r="H864" s="2" t="s">
        <v>37</v>
      </c>
      <c r="I864" s="2" t="s">
        <v>31</v>
      </c>
      <c r="J864" s="2" t="s">
        <v>230</v>
      </c>
      <c r="K864" s="1">
        <v>8</v>
      </c>
      <c r="L864" s="37">
        <v>34.11</v>
      </c>
      <c r="M864" s="3">
        <v>15</v>
      </c>
      <c r="N864" s="37">
        <v>272.88</v>
      </c>
      <c r="O864" s="37">
        <v>40.93</v>
      </c>
      <c r="P864" s="53">
        <v>231.95</v>
      </c>
      <c r="Q864" s="37">
        <v>100.38</v>
      </c>
      <c r="R864" s="37">
        <v>131.57</v>
      </c>
      <c r="S864" s="3">
        <v>56.7</v>
      </c>
      <c r="T864" s="1" t="s">
        <v>27</v>
      </c>
      <c r="U864" s="15">
        <v>1</v>
      </c>
    </row>
    <row r="865" spans="1:21" x14ac:dyDescent="0.3">
      <c r="A865" s="14" t="s">
        <v>1205</v>
      </c>
      <c r="B865" s="46">
        <v>45608</v>
      </c>
      <c r="C865" s="4" t="s">
        <v>1176</v>
      </c>
      <c r="D865" s="42" t="s">
        <v>1376</v>
      </c>
      <c r="E865" s="4">
        <v>2024</v>
      </c>
      <c r="F865" s="4" t="s">
        <v>29</v>
      </c>
      <c r="G865" s="61" t="s">
        <v>58</v>
      </c>
      <c r="H865" s="5" t="s">
        <v>24</v>
      </c>
      <c r="I865" s="5" t="s">
        <v>47</v>
      </c>
      <c r="J865" s="5" t="s">
        <v>227</v>
      </c>
      <c r="K865" s="4">
        <v>9</v>
      </c>
      <c r="L865" s="38">
        <v>63.02</v>
      </c>
      <c r="M865" s="6">
        <v>15</v>
      </c>
      <c r="N865" s="38">
        <v>567.17999999999995</v>
      </c>
      <c r="O865" s="38">
        <v>85.08</v>
      </c>
      <c r="P865" s="54">
        <v>482.1</v>
      </c>
      <c r="Q865" s="38">
        <v>248.81</v>
      </c>
      <c r="R865" s="38">
        <v>233.29</v>
      </c>
      <c r="S865" s="6">
        <v>48.4</v>
      </c>
      <c r="T865" s="4" t="s">
        <v>27</v>
      </c>
      <c r="U865" s="16">
        <v>3</v>
      </c>
    </row>
    <row r="866" spans="1:21" x14ac:dyDescent="0.3">
      <c r="A866" s="13" t="s">
        <v>1206</v>
      </c>
      <c r="B866" s="45">
        <v>45609</v>
      </c>
      <c r="C866" s="1" t="s">
        <v>1176</v>
      </c>
      <c r="D866" s="41" t="s">
        <v>1376</v>
      </c>
      <c r="E866" s="1">
        <v>2024</v>
      </c>
      <c r="F866" s="1" t="s">
        <v>29</v>
      </c>
      <c r="G866" s="60" t="s">
        <v>23</v>
      </c>
      <c r="H866" s="2" t="s">
        <v>50</v>
      </c>
      <c r="I866" s="2" t="s">
        <v>47</v>
      </c>
      <c r="J866" s="2" t="s">
        <v>1207</v>
      </c>
      <c r="K866" s="1">
        <v>19</v>
      </c>
      <c r="L866" s="37">
        <v>286.02999999999997</v>
      </c>
      <c r="M866" s="3">
        <v>15</v>
      </c>
      <c r="N866" s="37">
        <v>5434.57</v>
      </c>
      <c r="O866" s="37">
        <v>815.19</v>
      </c>
      <c r="P866" s="53">
        <v>4619.38</v>
      </c>
      <c r="Q866" s="37">
        <v>2387.7399999999998</v>
      </c>
      <c r="R866" s="37">
        <v>2231.64</v>
      </c>
      <c r="S866" s="3">
        <v>48.3</v>
      </c>
      <c r="T866" s="1" t="s">
        <v>44</v>
      </c>
      <c r="U866" s="15">
        <v>3</v>
      </c>
    </row>
    <row r="867" spans="1:21" x14ac:dyDescent="0.3">
      <c r="A867" s="14" t="s">
        <v>1208</v>
      </c>
      <c r="B867" s="46">
        <v>45609</v>
      </c>
      <c r="C867" s="4" t="s">
        <v>1176</v>
      </c>
      <c r="D867" s="42" t="s">
        <v>1376</v>
      </c>
      <c r="E867" s="4">
        <v>2024</v>
      </c>
      <c r="F867" s="4" t="s">
        <v>53</v>
      </c>
      <c r="G867" s="61" t="s">
        <v>58</v>
      </c>
      <c r="H867" s="5" t="s">
        <v>37</v>
      </c>
      <c r="I867" s="5" t="s">
        <v>47</v>
      </c>
      <c r="J867" s="5" t="s">
        <v>195</v>
      </c>
      <c r="K867" s="4">
        <v>2</v>
      </c>
      <c r="L867" s="38">
        <v>306.52</v>
      </c>
      <c r="M867" s="6">
        <v>0</v>
      </c>
      <c r="N867" s="38">
        <v>613.04</v>
      </c>
      <c r="O867" s="38">
        <v>0</v>
      </c>
      <c r="P867" s="54">
        <v>613.04</v>
      </c>
      <c r="Q867" s="38">
        <v>384.85</v>
      </c>
      <c r="R867" s="38">
        <v>228.19</v>
      </c>
      <c r="S867" s="6">
        <v>37.200000000000003</v>
      </c>
      <c r="T867" s="4" t="s">
        <v>44</v>
      </c>
      <c r="U867" s="16">
        <v>5</v>
      </c>
    </row>
    <row r="868" spans="1:21" x14ac:dyDescent="0.3">
      <c r="A868" s="13" t="s">
        <v>1209</v>
      </c>
      <c r="B868" s="45">
        <v>45609</v>
      </c>
      <c r="C868" s="1" t="s">
        <v>1176</v>
      </c>
      <c r="D868" s="41" t="s">
        <v>1376</v>
      </c>
      <c r="E868" s="1">
        <v>2024</v>
      </c>
      <c r="F868" s="1" t="s">
        <v>22</v>
      </c>
      <c r="G868" s="60" t="s">
        <v>122</v>
      </c>
      <c r="H868" s="2" t="s">
        <v>24</v>
      </c>
      <c r="I868" s="2" t="s">
        <v>75</v>
      </c>
      <c r="J868" s="2" t="s">
        <v>1210</v>
      </c>
      <c r="K868" s="1">
        <v>5</v>
      </c>
      <c r="L868" s="37">
        <v>319.16000000000003</v>
      </c>
      <c r="M868" s="3">
        <v>20</v>
      </c>
      <c r="N868" s="37">
        <v>1595.8</v>
      </c>
      <c r="O868" s="37">
        <v>319.16000000000003</v>
      </c>
      <c r="P868" s="53">
        <v>1276.6400000000001</v>
      </c>
      <c r="Q868" s="37">
        <v>506.08</v>
      </c>
      <c r="R868" s="37">
        <v>770.56</v>
      </c>
      <c r="S868" s="3">
        <v>60.4</v>
      </c>
      <c r="T868" s="1" t="s">
        <v>44</v>
      </c>
      <c r="U868" s="15">
        <v>4</v>
      </c>
    </row>
    <row r="869" spans="1:21" x14ac:dyDescent="0.3">
      <c r="A869" s="14" t="s">
        <v>1211</v>
      </c>
      <c r="B869" s="46">
        <v>45609</v>
      </c>
      <c r="C869" s="4" t="s">
        <v>1176</v>
      </c>
      <c r="D869" s="42" t="s">
        <v>1376</v>
      </c>
      <c r="E869" s="4">
        <v>2024</v>
      </c>
      <c r="F869" s="4" t="s">
        <v>22</v>
      </c>
      <c r="G869" s="61" t="s">
        <v>91</v>
      </c>
      <c r="H869" s="5" t="s">
        <v>24</v>
      </c>
      <c r="I869" s="5" t="s">
        <v>75</v>
      </c>
      <c r="J869" s="5" t="s">
        <v>305</v>
      </c>
      <c r="K869" s="4">
        <v>4</v>
      </c>
      <c r="L869" s="38">
        <v>348.89</v>
      </c>
      <c r="M869" s="6">
        <v>10</v>
      </c>
      <c r="N869" s="38">
        <v>1395.56</v>
      </c>
      <c r="O869" s="38">
        <v>139.56</v>
      </c>
      <c r="P869" s="54">
        <v>1256</v>
      </c>
      <c r="Q869" s="38">
        <v>453.82</v>
      </c>
      <c r="R869" s="38">
        <v>802.18</v>
      </c>
      <c r="S869" s="6">
        <v>63.9</v>
      </c>
      <c r="T869" s="4" t="s">
        <v>44</v>
      </c>
      <c r="U869" s="16">
        <v>3</v>
      </c>
    </row>
    <row r="870" spans="1:21" x14ac:dyDescent="0.3">
      <c r="A870" s="13" t="s">
        <v>1212</v>
      </c>
      <c r="B870" s="45">
        <v>45610</v>
      </c>
      <c r="C870" s="1" t="s">
        <v>1176</v>
      </c>
      <c r="D870" s="41" t="s">
        <v>1376</v>
      </c>
      <c r="E870" s="1">
        <v>2024</v>
      </c>
      <c r="F870" s="1" t="s">
        <v>41</v>
      </c>
      <c r="G870" s="60" t="s">
        <v>122</v>
      </c>
      <c r="H870" s="2" t="s">
        <v>24</v>
      </c>
      <c r="I870" s="2" t="s">
        <v>47</v>
      </c>
      <c r="J870" s="2" t="s">
        <v>495</v>
      </c>
      <c r="K870" s="1">
        <v>3</v>
      </c>
      <c r="L870" s="37">
        <v>25.92</v>
      </c>
      <c r="M870" s="3">
        <v>10</v>
      </c>
      <c r="N870" s="37">
        <v>77.760000000000005</v>
      </c>
      <c r="O870" s="37">
        <v>7.78</v>
      </c>
      <c r="P870" s="53">
        <v>69.98</v>
      </c>
      <c r="Q870" s="37">
        <v>31.96</v>
      </c>
      <c r="R870" s="37">
        <v>38.020000000000003</v>
      </c>
      <c r="S870" s="3">
        <v>54.3</v>
      </c>
      <c r="T870" s="1" t="s">
        <v>44</v>
      </c>
      <c r="U870" s="15">
        <v>2</v>
      </c>
    </row>
    <row r="871" spans="1:21" x14ac:dyDescent="0.3">
      <c r="A871" s="14" t="s">
        <v>1213</v>
      </c>
      <c r="B871" s="46">
        <v>45610</v>
      </c>
      <c r="C871" s="4" t="s">
        <v>1176</v>
      </c>
      <c r="D871" s="42" t="s">
        <v>1376</v>
      </c>
      <c r="E871" s="4">
        <v>2024</v>
      </c>
      <c r="F871" s="4" t="s">
        <v>22</v>
      </c>
      <c r="G871" s="61" t="s">
        <v>66</v>
      </c>
      <c r="H871" s="5" t="s">
        <v>50</v>
      </c>
      <c r="I871" s="5" t="s">
        <v>38</v>
      </c>
      <c r="J871" s="5" t="s">
        <v>364</v>
      </c>
      <c r="K871" s="4">
        <v>12</v>
      </c>
      <c r="L871" s="38">
        <v>36.04</v>
      </c>
      <c r="M871" s="6">
        <v>15</v>
      </c>
      <c r="N871" s="38">
        <v>432.48</v>
      </c>
      <c r="O871" s="38">
        <v>64.87</v>
      </c>
      <c r="P871" s="54">
        <v>367.61</v>
      </c>
      <c r="Q871" s="38">
        <v>143.93</v>
      </c>
      <c r="R871" s="38">
        <v>223.68</v>
      </c>
      <c r="S871" s="6">
        <v>60.8</v>
      </c>
      <c r="T871" s="4" t="s">
        <v>27</v>
      </c>
      <c r="U871" s="16">
        <v>2</v>
      </c>
    </row>
    <row r="872" spans="1:21" x14ac:dyDescent="0.3">
      <c r="A872" s="13" t="s">
        <v>1214</v>
      </c>
      <c r="B872" s="45">
        <v>45610</v>
      </c>
      <c r="C872" s="1" t="s">
        <v>1176</v>
      </c>
      <c r="D872" s="41" t="s">
        <v>1376</v>
      </c>
      <c r="E872" s="1">
        <v>2024</v>
      </c>
      <c r="F872" s="1" t="s">
        <v>22</v>
      </c>
      <c r="G872" s="60" t="s">
        <v>66</v>
      </c>
      <c r="H872" s="2" t="s">
        <v>24</v>
      </c>
      <c r="I872" s="2" t="s">
        <v>25</v>
      </c>
      <c r="J872" s="2" t="s">
        <v>503</v>
      </c>
      <c r="K872" s="1">
        <v>18</v>
      </c>
      <c r="L872" s="37">
        <v>119.08</v>
      </c>
      <c r="M872" s="3">
        <v>10</v>
      </c>
      <c r="N872" s="37">
        <v>2143.44</v>
      </c>
      <c r="O872" s="37">
        <v>214.34</v>
      </c>
      <c r="P872" s="53">
        <v>1929.1</v>
      </c>
      <c r="Q872" s="37">
        <v>887.63</v>
      </c>
      <c r="R872" s="37">
        <v>1041.47</v>
      </c>
      <c r="S872" s="3">
        <v>54</v>
      </c>
      <c r="T872" s="1" t="s">
        <v>44</v>
      </c>
      <c r="U872" s="15">
        <v>5</v>
      </c>
    </row>
    <row r="873" spans="1:21" x14ac:dyDescent="0.3">
      <c r="A873" s="14" t="s">
        <v>1215</v>
      </c>
      <c r="B873" s="46">
        <v>45611</v>
      </c>
      <c r="C873" s="4" t="s">
        <v>1176</v>
      </c>
      <c r="D873" s="42" t="s">
        <v>1376</v>
      </c>
      <c r="E873" s="4">
        <v>2024</v>
      </c>
      <c r="F873" s="4" t="s">
        <v>41</v>
      </c>
      <c r="G873" s="61" t="s">
        <v>58</v>
      </c>
      <c r="H873" s="5" t="s">
        <v>37</v>
      </c>
      <c r="I873" s="5" t="s">
        <v>55</v>
      </c>
      <c r="J873" s="5" t="s">
        <v>239</v>
      </c>
      <c r="K873" s="4">
        <v>14</v>
      </c>
      <c r="L873" s="38">
        <v>883.57</v>
      </c>
      <c r="M873" s="6">
        <v>0</v>
      </c>
      <c r="N873" s="38">
        <v>12369.98</v>
      </c>
      <c r="O873" s="38">
        <v>0</v>
      </c>
      <c r="P873" s="54">
        <v>12369.98</v>
      </c>
      <c r="Q873" s="38">
        <v>6489.87</v>
      </c>
      <c r="R873" s="38">
        <v>5880.11</v>
      </c>
      <c r="S873" s="6">
        <v>47.5</v>
      </c>
      <c r="T873" s="4" t="s">
        <v>44</v>
      </c>
      <c r="U873" s="16">
        <v>4</v>
      </c>
    </row>
    <row r="874" spans="1:21" x14ac:dyDescent="0.3">
      <c r="A874" s="13" t="s">
        <v>1216</v>
      </c>
      <c r="B874" s="45">
        <v>45612</v>
      </c>
      <c r="C874" s="1" t="s">
        <v>1176</v>
      </c>
      <c r="D874" s="41" t="s">
        <v>1376</v>
      </c>
      <c r="E874" s="1">
        <v>2024</v>
      </c>
      <c r="F874" s="1" t="s">
        <v>53</v>
      </c>
      <c r="G874" s="60" t="s">
        <v>66</v>
      </c>
      <c r="H874" s="2" t="s">
        <v>24</v>
      </c>
      <c r="I874" s="2" t="s">
        <v>38</v>
      </c>
      <c r="J874" s="2" t="s">
        <v>520</v>
      </c>
      <c r="K874" s="1">
        <v>19</v>
      </c>
      <c r="L874" s="37">
        <v>46.97</v>
      </c>
      <c r="M874" s="3">
        <v>20</v>
      </c>
      <c r="N874" s="37">
        <v>892.43</v>
      </c>
      <c r="O874" s="37">
        <v>178.49</v>
      </c>
      <c r="P874" s="53">
        <v>713.94</v>
      </c>
      <c r="Q874" s="37">
        <v>299.77999999999997</v>
      </c>
      <c r="R874" s="37">
        <v>414.16</v>
      </c>
      <c r="S874" s="3">
        <v>58</v>
      </c>
      <c r="T874" s="1" t="s">
        <v>44</v>
      </c>
      <c r="U874" s="15">
        <v>1</v>
      </c>
    </row>
    <row r="875" spans="1:21" x14ac:dyDescent="0.3">
      <c r="A875" s="14" t="s">
        <v>1217</v>
      </c>
      <c r="B875" s="46">
        <v>45612</v>
      </c>
      <c r="C875" s="4" t="s">
        <v>1176</v>
      </c>
      <c r="D875" s="42" t="s">
        <v>1376</v>
      </c>
      <c r="E875" s="4">
        <v>2024</v>
      </c>
      <c r="F875" s="4" t="s">
        <v>41</v>
      </c>
      <c r="G875" s="61" t="s">
        <v>54</v>
      </c>
      <c r="H875" s="5" t="s">
        <v>24</v>
      </c>
      <c r="I875" s="5" t="s">
        <v>38</v>
      </c>
      <c r="J875" s="5" t="s">
        <v>175</v>
      </c>
      <c r="K875" s="4">
        <v>8</v>
      </c>
      <c r="L875" s="38">
        <v>79.45</v>
      </c>
      <c r="M875" s="6">
        <v>15</v>
      </c>
      <c r="N875" s="38">
        <v>635.6</v>
      </c>
      <c r="O875" s="38">
        <v>95.34</v>
      </c>
      <c r="P875" s="54">
        <v>540.26</v>
      </c>
      <c r="Q875" s="38">
        <v>320.55</v>
      </c>
      <c r="R875" s="38">
        <v>219.71</v>
      </c>
      <c r="S875" s="6">
        <v>40.700000000000003</v>
      </c>
      <c r="T875" s="4" t="s">
        <v>44</v>
      </c>
      <c r="U875" s="16">
        <v>2</v>
      </c>
    </row>
    <row r="876" spans="1:21" x14ac:dyDescent="0.3">
      <c r="A876" s="13" t="s">
        <v>1218</v>
      </c>
      <c r="B876" s="45">
        <v>45612</v>
      </c>
      <c r="C876" s="1" t="s">
        <v>1176</v>
      </c>
      <c r="D876" s="41" t="s">
        <v>1376</v>
      </c>
      <c r="E876" s="1">
        <v>2024</v>
      </c>
      <c r="F876" s="1" t="s">
        <v>22</v>
      </c>
      <c r="G876" s="60" t="s">
        <v>122</v>
      </c>
      <c r="H876" s="2" t="s">
        <v>37</v>
      </c>
      <c r="I876" s="2" t="s">
        <v>47</v>
      </c>
      <c r="J876" s="2" t="s">
        <v>452</v>
      </c>
      <c r="K876" s="1">
        <v>18</v>
      </c>
      <c r="L876" s="37">
        <v>136.52000000000001</v>
      </c>
      <c r="M876" s="3">
        <v>0</v>
      </c>
      <c r="N876" s="37">
        <v>2457.36</v>
      </c>
      <c r="O876" s="37">
        <v>0</v>
      </c>
      <c r="P876" s="53">
        <v>2457.36</v>
      </c>
      <c r="Q876" s="37">
        <v>927.83</v>
      </c>
      <c r="R876" s="37">
        <v>1529.53</v>
      </c>
      <c r="S876" s="3">
        <v>62.2</v>
      </c>
      <c r="T876" s="1" t="s">
        <v>27</v>
      </c>
      <c r="U876" s="15">
        <v>3</v>
      </c>
    </row>
    <row r="877" spans="1:21" x14ac:dyDescent="0.3">
      <c r="A877" s="14" t="s">
        <v>1219</v>
      </c>
      <c r="B877" s="46">
        <v>45612</v>
      </c>
      <c r="C877" s="4" t="s">
        <v>1176</v>
      </c>
      <c r="D877" s="42" t="s">
        <v>1376</v>
      </c>
      <c r="E877" s="4">
        <v>2024</v>
      </c>
      <c r="F877" s="4" t="s">
        <v>22</v>
      </c>
      <c r="G877" s="61" t="s">
        <v>122</v>
      </c>
      <c r="H877" s="5" t="s">
        <v>50</v>
      </c>
      <c r="I877" s="5" t="s">
        <v>55</v>
      </c>
      <c r="J877" s="5" t="s">
        <v>104</v>
      </c>
      <c r="K877" s="4">
        <v>2</v>
      </c>
      <c r="L877" s="38">
        <v>649.27</v>
      </c>
      <c r="M877" s="6">
        <v>0</v>
      </c>
      <c r="N877" s="38">
        <v>1298.54</v>
      </c>
      <c r="O877" s="38">
        <v>0</v>
      </c>
      <c r="P877" s="54">
        <v>1298.54</v>
      </c>
      <c r="Q877" s="38">
        <v>610.24</v>
      </c>
      <c r="R877" s="38">
        <v>688.3</v>
      </c>
      <c r="S877" s="6">
        <v>53</v>
      </c>
      <c r="T877" s="4" t="s">
        <v>44</v>
      </c>
      <c r="U877" s="16">
        <v>2</v>
      </c>
    </row>
    <row r="878" spans="1:21" x14ac:dyDescent="0.3">
      <c r="A878" s="13" t="s">
        <v>1220</v>
      </c>
      <c r="B878" s="45">
        <v>45613</v>
      </c>
      <c r="C878" s="1" t="s">
        <v>1176</v>
      </c>
      <c r="D878" s="41" t="s">
        <v>1376</v>
      </c>
      <c r="E878" s="1">
        <v>2024</v>
      </c>
      <c r="F878" s="1" t="s">
        <v>22</v>
      </c>
      <c r="G878" s="60" t="s">
        <v>58</v>
      </c>
      <c r="H878" s="2" t="s">
        <v>24</v>
      </c>
      <c r="I878" s="2" t="s">
        <v>47</v>
      </c>
      <c r="J878" s="2" t="s">
        <v>633</v>
      </c>
      <c r="K878" s="1">
        <v>13</v>
      </c>
      <c r="L878" s="37">
        <v>348.95</v>
      </c>
      <c r="M878" s="3">
        <v>5</v>
      </c>
      <c r="N878" s="37">
        <v>4536.3500000000004</v>
      </c>
      <c r="O878" s="37">
        <v>226.82</v>
      </c>
      <c r="P878" s="53">
        <v>4309.53</v>
      </c>
      <c r="Q878" s="37">
        <v>2695.03</v>
      </c>
      <c r="R878" s="37">
        <v>1614.5</v>
      </c>
      <c r="S878" s="3">
        <v>37.5</v>
      </c>
      <c r="T878" s="1" t="s">
        <v>44</v>
      </c>
      <c r="U878" s="15">
        <v>5</v>
      </c>
    </row>
    <row r="879" spans="1:21" x14ac:dyDescent="0.3">
      <c r="A879" s="14" t="s">
        <v>1221</v>
      </c>
      <c r="B879" s="46">
        <v>45613</v>
      </c>
      <c r="C879" s="4" t="s">
        <v>1176</v>
      </c>
      <c r="D879" s="42" t="s">
        <v>1376</v>
      </c>
      <c r="E879" s="4">
        <v>2024</v>
      </c>
      <c r="F879" s="4" t="s">
        <v>41</v>
      </c>
      <c r="G879" s="61" t="s">
        <v>66</v>
      </c>
      <c r="H879" s="5" t="s">
        <v>59</v>
      </c>
      <c r="I879" s="5" t="s">
        <v>55</v>
      </c>
      <c r="J879" s="5" t="s">
        <v>223</v>
      </c>
      <c r="K879" s="4">
        <v>17</v>
      </c>
      <c r="L879" s="38">
        <v>244.93</v>
      </c>
      <c r="M879" s="6">
        <v>0</v>
      </c>
      <c r="N879" s="38">
        <v>4163.8100000000004</v>
      </c>
      <c r="O879" s="38">
        <v>0</v>
      </c>
      <c r="P879" s="54">
        <v>4163.8100000000004</v>
      </c>
      <c r="Q879" s="38">
        <v>2374.54</v>
      </c>
      <c r="R879" s="38">
        <v>1789.27</v>
      </c>
      <c r="S879" s="6">
        <v>43</v>
      </c>
      <c r="T879" s="4" t="s">
        <v>44</v>
      </c>
      <c r="U879" s="16">
        <v>4</v>
      </c>
    </row>
    <row r="880" spans="1:21" x14ac:dyDescent="0.3">
      <c r="A880" s="13" t="s">
        <v>1222</v>
      </c>
      <c r="B880" s="45">
        <v>45613</v>
      </c>
      <c r="C880" s="1" t="s">
        <v>1176</v>
      </c>
      <c r="D880" s="41" t="s">
        <v>1376</v>
      </c>
      <c r="E880" s="1">
        <v>2024</v>
      </c>
      <c r="F880" s="1" t="s">
        <v>53</v>
      </c>
      <c r="G880" s="60" t="s">
        <v>122</v>
      </c>
      <c r="H880" s="2" t="s">
        <v>37</v>
      </c>
      <c r="I880" s="2" t="s">
        <v>25</v>
      </c>
      <c r="J880" s="2" t="s">
        <v>1103</v>
      </c>
      <c r="K880" s="1">
        <v>14</v>
      </c>
      <c r="L880" s="37">
        <v>47.65</v>
      </c>
      <c r="M880" s="3">
        <v>15</v>
      </c>
      <c r="N880" s="37">
        <v>667.1</v>
      </c>
      <c r="O880" s="37">
        <v>100.06</v>
      </c>
      <c r="P880" s="53">
        <v>567.04</v>
      </c>
      <c r="Q880" s="37">
        <v>321.55</v>
      </c>
      <c r="R880" s="37">
        <v>245.49</v>
      </c>
      <c r="S880" s="3">
        <v>43.3</v>
      </c>
      <c r="T880" s="1" t="s">
        <v>44</v>
      </c>
      <c r="U880" s="15">
        <v>4</v>
      </c>
    </row>
    <row r="881" spans="1:21" x14ac:dyDescent="0.3">
      <c r="A881" s="14" t="s">
        <v>1223</v>
      </c>
      <c r="B881" s="46">
        <v>45614</v>
      </c>
      <c r="C881" s="4" t="s">
        <v>1176</v>
      </c>
      <c r="D881" s="42" t="s">
        <v>1376</v>
      </c>
      <c r="E881" s="4">
        <v>2024</v>
      </c>
      <c r="F881" s="4" t="s">
        <v>35</v>
      </c>
      <c r="G881" s="61" t="s">
        <v>23</v>
      </c>
      <c r="H881" s="5" t="s">
        <v>59</v>
      </c>
      <c r="I881" s="5" t="s">
        <v>38</v>
      </c>
      <c r="J881" s="5" t="s">
        <v>396</v>
      </c>
      <c r="K881" s="4">
        <v>18</v>
      </c>
      <c r="L881" s="38">
        <v>25.13</v>
      </c>
      <c r="M881" s="6">
        <v>0</v>
      </c>
      <c r="N881" s="38">
        <v>452.34</v>
      </c>
      <c r="O881" s="38">
        <v>0</v>
      </c>
      <c r="P881" s="54">
        <v>452.34</v>
      </c>
      <c r="Q881" s="38">
        <v>265.92</v>
      </c>
      <c r="R881" s="38">
        <v>186.42</v>
      </c>
      <c r="S881" s="6">
        <v>41.2</v>
      </c>
      <c r="T881" s="4" t="s">
        <v>44</v>
      </c>
      <c r="U881" s="16">
        <v>1</v>
      </c>
    </row>
    <row r="882" spans="1:21" x14ac:dyDescent="0.3">
      <c r="A882" s="13" t="s">
        <v>1224</v>
      </c>
      <c r="B882" s="45">
        <v>45614</v>
      </c>
      <c r="C882" s="1" t="s">
        <v>1176</v>
      </c>
      <c r="D882" s="41" t="s">
        <v>1376</v>
      </c>
      <c r="E882" s="1">
        <v>2024</v>
      </c>
      <c r="F882" s="1" t="s">
        <v>41</v>
      </c>
      <c r="G882" s="60" t="s">
        <v>30</v>
      </c>
      <c r="H882" s="2" t="s">
        <v>50</v>
      </c>
      <c r="I882" s="2" t="s">
        <v>75</v>
      </c>
      <c r="J882" s="2" t="s">
        <v>153</v>
      </c>
      <c r="K882" s="1">
        <v>16</v>
      </c>
      <c r="L882" s="37">
        <v>79.73</v>
      </c>
      <c r="M882" s="3">
        <v>0</v>
      </c>
      <c r="N882" s="37">
        <v>1275.68</v>
      </c>
      <c r="O882" s="37">
        <v>0</v>
      </c>
      <c r="P882" s="53">
        <v>1275.68</v>
      </c>
      <c r="Q882" s="37">
        <v>512.66</v>
      </c>
      <c r="R882" s="37">
        <v>763.02</v>
      </c>
      <c r="S882" s="3">
        <v>59.8</v>
      </c>
      <c r="T882" s="1" t="s">
        <v>44</v>
      </c>
      <c r="U882" s="15">
        <v>5</v>
      </c>
    </row>
    <row r="883" spans="1:21" x14ac:dyDescent="0.3">
      <c r="A883" s="14" t="s">
        <v>1225</v>
      </c>
      <c r="B883" s="46">
        <v>45615</v>
      </c>
      <c r="C883" s="4" t="s">
        <v>1176</v>
      </c>
      <c r="D883" s="42" t="s">
        <v>1376</v>
      </c>
      <c r="E883" s="4">
        <v>2024</v>
      </c>
      <c r="F883" s="4" t="s">
        <v>53</v>
      </c>
      <c r="G883" s="61" t="s">
        <v>23</v>
      </c>
      <c r="H883" s="5" t="s">
        <v>59</v>
      </c>
      <c r="I883" s="5" t="s">
        <v>47</v>
      </c>
      <c r="J883" s="5" t="s">
        <v>332</v>
      </c>
      <c r="K883" s="4">
        <v>19</v>
      </c>
      <c r="L883" s="38">
        <v>100.26</v>
      </c>
      <c r="M883" s="6">
        <v>0</v>
      </c>
      <c r="N883" s="38">
        <v>1904.94</v>
      </c>
      <c r="O883" s="38">
        <v>0</v>
      </c>
      <c r="P883" s="54">
        <v>1904.94</v>
      </c>
      <c r="Q883" s="38">
        <v>1138.5999999999999</v>
      </c>
      <c r="R883" s="38">
        <v>766.34</v>
      </c>
      <c r="S883" s="6">
        <v>40.200000000000003</v>
      </c>
      <c r="T883" s="4" t="s">
        <v>44</v>
      </c>
      <c r="U883" s="16">
        <v>5</v>
      </c>
    </row>
    <row r="884" spans="1:21" x14ac:dyDescent="0.3">
      <c r="A884" s="13" t="s">
        <v>1226</v>
      </c>
      <c r="B884" s="45">
        <v>45616</v>
      </c>
      <c r="C884" s="1" t="s">
        <v>1176</v>
      </c>
      <c r="D884" s="41" t="s">
        <v>1376</v>
      </c>
      <c r="E884" s="1">
        <v>2024</v>
      </c>
      <c r="F884" s="1" t="s">
        <v>22</v>
      </c>
      <c r="G884" s="60" t="s">
        <v>122</v>
      </c>
      <c r="H884" s="2" t="s">
        <v>59</v>
      </c>
      <c r="I884" s="2" t="s">
        <v>47</v>
      </c>
      <c r="J884" s="2" t="s">
        <v>515</v>
      </c>
      <c r="K884" s="1">
        <v>8</v>
      </c>
      <c r="L884" s="37">
        <v>152.46</v>
      </c>
      <c r="M884" s="3">
        <v>15</v>
      </c>
      <c r="N884" s="37">
        <v>1219.68</v>
      </c>
      <c r="O884" s="37">
        <v>182.95</v>
      </c>
      <c r="P884" s="53">
        <v>1036.73</v>
      </c>
      <c r="Q884" s="37">
        <v>577.33000000000004</v>
      </c>
      <c r="R884" s="37">
        <v>459.4</v>
      </c>
      <c r="S884" s="3">
        <v>44.3</v>
      </c>
      <c r="T884" s="1" t="s">
        <v>44</v>
      </c>
      <c r="U884" s="15">
        <v>2</v>
      </c>
    </row>
    <row r="885" spans="1:21" x14ac:dyDescent="0.3">
      <c r="A885" s="14" t="s">
        <v>1227</v>
      </c>
      <c r="B885" s="46">
        <v>45616</v>
      </c>
      <c r="C885" s="4" t="s">
        <v>1176</v>
      </c>
      <c r="D885" s="42" t="s">
        <v>1376</v>
      </c>
      <c r="E885" s="4">
        <v>2024</v>
      </c>
      <c r="F885" s="4" t="s">
        <v>53</v>
      </c>
      <c r="G885" s="61" t="s">
        <v>122</v>
      </c>
      <c r="H885" s="5" t="s">
        <v>37</v>
      </c>
      <c r="I885" s="5" t="s">
        <v>38</v>
      </c>
      <c r="J885" s="5" t="s">
        <v>364</v>
      </c>
      <c r="K885" s="4">
        <v>16</v>
      </c>
      <c r="L885" s="38">
        <v>27.48</v>
      </c>
      <c r="M885" s="6">
        <v>10</v>
      </c>
      <c r="N885" s="38">
        <v>439.68</v>
      </c>
      <c r="O885" s="38">
        <v>43.97</v>
      </c>
      <c r="P885" s="54">
        <v>395.71</v>
      </c>
      <c r="Q885" s="38">
        <v>206.9</v>
      </c>
      <c r="R885" s="38">
        <v>188.81</v>
      </c>
      <c r="S885" s="6">
        <v>47.7</v>
      </c>
      <c r="T885" s="4" t="s">
        <v>44</v>
      </c>
      <c r="U885" s="16">
        <v>5</v>
      </c>
    </row>
    <row r="886" spans="1:21" x14ac:dyDescent="0.3">
      <c r="A886" s="13" t="s">
        <v>1228</v>
      </c>
      <c r="B886" s="45">
        <v>45616</v>
      </c>
      <c r="C886" s="1" t="s">
        <v>1176</v>
      </c>
      <c r="D886" s="41" t="s">
        <v>1376</v>
      </c>
      <c r="E886" s="1">
        <v>2024</v>
      </c>
      <c r="F886" s="1" t="s">
        <v>29</v>
      </c>
      <c r="G886" s="60" t="s">
        <v>23</v>
      </c>
      <c r="H886" s="2" t="s">
        <v>50</v>
      </c>
      <c r="I886" s="2" t="s">
        <v>38</v>
      </c>
      <c r="J886" s="2" t="s">
        <v>175</v>
      </c>
      <c r="K886" s="1">
        <v>10</v>
      </c>
      <c r="L886" s="37">
        <v>63.7</v>
      </c>
      <c r="M886" s="3">
        <v>0</v>
      </c>
      <c r="N886" s="37">
        <v>637</v>
      </c>
      <c r="O886" s="37">
        <v>0</v>
      </c>
      <c r="P886" s="53">
        <v>637</v>
      </c>
      <c r="Q886" s="37">
        <v>396.4</v>
      </c>
      <c r="R886" s="37">
        <v>240.6</v>
      </c>
      <c r="S886" s="3">
        <v>37.799999999999997</v>
      </c>
      <c r="T886" s="1" t="s">
        <v>44</v>
      </c>
      <c r="U886" s="15">
        <v>4</v>
      </c>
    </row>
    <row r="887" spans="1:21" x14ac:dyDescent="0.3">
      <c r="A887" s="14" t="s">
        <v>1229</v>
      </c>
      <c r="B887" s="46">
        <v>45617</v>
      </c>
      <c r="C887" s="4" t="s">
        <v>1176</v>
      </c>
      <c r="D887" s="42" t="s">
        <v>1376</v>
      </c>
      <c r="E887" s="4">
        <v>2024</v>
      </c>
      <c r="F887" s="4" t="s">
        <v>29</v>
      </c>
      <c r="G887" s="61" t="s">
        <v>122</v>
      </c>
      <c r="H887" s="5" t="s">
        <v>50</v>
      </c>
      <c r="I887" s="5" t="s">
        <v>25</v>
      </c>
      <c r="J887" s="5" t="s">
        <v>1230</v>
      </c>
      <c r="K887" s="4">
        <v>3</v>
      </c>
      <c r="L887" s="38">
        <v>60.56</v>
      </c>
      <c r="M887" s="6">
        <v>5</v>
      </c>
      <c r="N887" s="38">
        <v>181.68</v>
      </c>
      <c r="O887" s="38">
        <v>9.08</v>
      </c>
      <c r="P887" s="54">
        <v>172.6</v>
      </c>
      <c r="Q887" s="38">
        <v>91.23</v>
      </c>
      <c r="R887" s="38">
        <v>81.37</v>
      </c>
      <c r="S887" s="6">
        <v>47.1</v>
      </c>
      <c r="T887" s="4" t="s">
        <v>27</v>
      </c>
      <c r="U887" s="16">
        <v>4</v>
      </c>
    </row>
    <row r="888" spans="1:21" x14ac:dyDescent="0.3">
      <c r="A888" s="13" t="s">
        <v>1231</v>
      </c>
      <c r="B888" s="45">
        <v>45617</v>
      </c>
      <c r="C888" s="1" t="s">
        <v>1176</v>
      </c>
      <c r="D888" s="41" t="s">
        <v>1376</v>
      </c>
      <c r="E888" s="1">
        <v>2024</v>
      </c>
      <c r="F888" s="1" t="s">
        <v>35</v>
      </c>
      <c r="G888" s="60" t="s">
        <v>66</v>
      </c>
      <c r="H888" s="2" t="s">
        <v>50</v>
      </c>
      <c r="I888" s="2" t="s">
        <v>31</v>
      </c>
      <c r="J888" s="2" t="s">
        <v>625</v>
      </c>
      <c r="K888" s="1">
        <v>13</v>
      </c>
      <c r="L888" s="37">
        <v>189.68</v>
      </c>
      <c r="M888" s="3">
        <v>0</v>
      </c>
      <c r="N888" s="37">
        <v>2465.84</v>
      </c>
      <c r="O888" s="37">
        <v>0</v>
      </c>
      <c r="P888" s="53">
        <v>2465.84</v>
      </c>
      <c r="Q888" s="37">
        <v>1085.26</v>
      </c>
      <c r="R888" s="37">
        <v>1380.58</v>
      </c>
      <c r="S888" s="3">
        <v>56</v>
      </c>
      <c r="T888" s="1" t="s">
        <v>44</v>
      </c>
      <c r="U888" s="15">
        <v>3</v>
      </c>
    </row>
    <row r="889" spans="1:21" x14ac:dyDescent="0.3">
      <c r="A889" s="14" t="s">
        <v>1232</v>
      </c>
      <c r="B889" s="46">
        <v>45617</v>
      </c>
      <c r="C889" s="4" t="s">
        <v>1176</v>
      </c>
      <c r="D889" s="42" t="s">
        <v>1376</v>
      </c>
      <c r="E889" s="4">
        <v>2024</v>
      </c>
      <c r="F889" s="4" t="s">
        <v>22</v>
      </c>
      <c r="G889" s="61" t="s">
        <v>36</v>
      </c>
      <c r="H889" s="5" t="s">
        <v>59</v>
      </c>
      <c r="I889" s="5" t="s">
        <v>47</v>
      </c>
      <c r="J889" s="5" t="s">
        <v>172</v>
      </c>
      <c r="K889" s="4">
        <v>2</v>
      </c>
      <c r="L889" s="38">
        <v>366.03</v>
      </c>
      <c r="M889" s="6">
        <v>5</v>
      </c>
      <c r="N889" s="38">
        <v>732.06</v>
      </c>
      <c r="O889" s="38">
        <v>36.6</v>
      </c>
      <c r="P889" s="54">
        <v>695.46</v>
      </c>
      <c r="Q889" s="38">
        <v>395.88</v>
      </c>
      <c r="R889" s="38">
        <v>299.58</v>
      </c>
      <c r="S889" s="6">
        <v>43.1</v>
      </c>
      <c r="T889" s="4" t="s">
        <v>44</v>
      </c>
      <c r="U889" s="16">
        <v>3</v>
      </c>
    </row>
    <row r="890" spans="1:21" x14ac:dyDescent="0.3">
      <c r="A890" s="13" t="s">
        <v>1233</v>
      </c>
      <c r="B890" s="45">
        <v>45618</v>
      </c>
      <c r="C890" s="1" t="s">
        <v>1176</v>
      </c>
      <c r="D890" s="41" t="s">
        <v>1376</v>
      </c>
      <c r="E890" s="1">
        <v>2024</v>
      </c>
      <c r="F890" s="1" t="s">
        <v>35</v>
      </c>
      <c r="G890" s="60" t="s">
        <v>36</v>
      </c>
      <c r="H890" s="2" t="s">
        <v>59</v>
      </c>
      <c r="I890" s="2" t="s">
        <v>55</v>
      </c>
      <c r="J890" s="2" t="s">
        <v>791</v>
      </c>
      <c r="K890" s="1">
        <v>17</v>
      </c>
      <c r="L890" s="37">
        <v>620.16999999999996</v>
      </c>
      <c r="M890" s="3">
        <v>0</v>
      </c>
      <c r="N890" s="37">
        <v>10542.89</v>
      </c>
      <c r="O890" s="37">
        <v>0</v>
      </c>
      <c r="P890" s="53">
        <v>10542.89</v>
      </c>
      <c r="Q890" s="37">
        <v>5512.72</v>
      </c>
      <c r="R890" s="37">
        <v>5030.17</v>
      </c>
      <c r="S890" s="3">
        <v>47.7</v>
      </c>
      <c r="T890" s="1" t="s">
        <v>44</v>
      </c>
      <c r="U890" s="15">
        <v>4</v>
      </c>
    </row>
    <row r="891" spans="1:21" x14ac:dyDescent="0.3">
      <c r="A891" s="14" t="s">
        <v>1234</v>
      </c>
      <c r="B891" s="46">
        <v>45618</v>
      </c>
      <c r="C891" s="4" t="s">
        <v>1176</v>
      </c>
      <c r="D891" s="42" t="s">
        <v>1376</v>
      </c>
      <c r="E891" s="4">
        <v>2024</v>
      </c>
      <c r="F891" s="4" t="s">
        <v>29</v>
      </c>
      <c r="G891" s="61" t="s">
        <v>36</v>
      </c>
      <c r="H891" s="5" t="s">
        <v>59</v>
      </c>
      <c r="I891" s="5" t="s">
        <v>25</v>
      </c>
      <c r="J891" s="5" t="s">
        <v>691</v>
      </c>
      <c r="K891" s="4">
        <v>19</v>
      </c>
      <c r="L891" s="38">
        <v>96.33</v>
      </c>
      <c r="M891" s="6">
        <v>10</v>
      </c>
      <c r="N891" s="38">
        <v>1830.27</v>
      </c>
      <c r="O891" s="38">
        <v>183.03</v>
      </c>
      <c r="P891" s="54">
        <v>1647.24</v>
      </c>
      <c r="Q891" s="38">
        <v>615.32000000000005</v>
      </c>
      <c r="R891" s="38">
        <v>1031.92</v>
      </c>
      <c r="S891" s="6">
        <v>62.6</v>
      </c>
      <c r="T891" s="4" t="s">
        <v>27</v>
      </c>
      <c r="U891" s="16">
        <v>2</v>
      </c>
    </row>
    <row r="892" spans="1:21" x14ac:dyDescent="0.3">
      <c r="A892" s="13" t="s">
        <v>1235</v>
      </c>
      <c r="B892" s="45">
        <v>45618</v>
      </c>
      <c r="C892" s="1" t="s">
        <v>1176</v>
      </c>
      <c r="D892" s="41" t="s">
        <v>1376</v>
      </c>
      <c r="E892" s="1">
        <v>2024</v>
      </c>
      <c r="F892" s="1" t="s">
        <v>35</v>
      </c>
      <c r="G892" s="60" t="s">
        <v>91</v>
      </c>
      <c r="H892" s="2" t="s">
        <v>50</v>
      </c>
      <c r="I892" s="2" t="s">
        <v>38</v>
      </c>
      <c r="J892" s="2" t="s">
        <v>396</v>
      </c>
      <c r="K892" s="1">
        <v>17</v>
      </c>
      <c r="L892" s="37">
        <v>39.340000000000003</v>
      </c>
      <c r="M892" s="3">
        <v>0</v>
      </c>
      <c r="N892" s="37">
        <v>668.78</v>
      </c>
      <c r="O892" s="37">
        <v>0</v>
      </c>
      <c r="P892" s="53">
        <v>668.78</v>
      </c>
      <c r="Q892" s="37">
        <v>245.29</v>
      </c>
      <c r="R892" s="37">
        <v>423.49</v>
      </c>
      <c r="S892" s="3">
        <v>63.3</v>
      </c>
      <c r="T892" s="1" t="s">
        <v>44</v>
      </c>
      <c r="U892" s="15">
        <v>1</v>
      </c>
    </row>
    <row r="893" spans="1:21" x14ac:dyDescent="0.3">
      <c r="A893" s="14" t="s">
        <v>1236</v>
      </c>
      <c r="B893" s="46">
        <v>45619</v>
      </c>
      <c r="C893" s="4" t="s">
        <v>1176</v>
      </c>
      <c r="D893" s="42" t="s">
        <v>1376</v>
      </c>
      <c r="E893" s="4">
        <v>2024</v>
      </c>
      <c r="F893" s="4" t="s">
        <v>29</v>
      </c>
      <c r="G893" s="61" t="s">
        <v>58</v>
      </c>
      <c r="H893" s="5" t="s">
        <v>59</v>
      </c>
      <c r="I893" s="5" t="s">
        <v>31</v>
      </c>
      <c r="J893" s="5" t="s">
        <v>1237</v>
      </c>
      <c r="K893" s="4">
        <v>19</v>
      </c>
      <c r="L893" s="38">
        <v>40.07</v>
      </c>
      <c r="M893" s="6">
        <v>0</v>
      </c>
      <c r="N893" s="38">
        <v>761.33</v>
      </c>
      <c r="O893" s="38">
        <v>0</v>
      </c>
      <c r="P893" s="54">
        <v>761.33</v>
      </c>
      <c r="Q893" s="38">
        <v>442.54</v>
      </c>
      <c r="R893" s="38">
        <v>318.79000000000002</v>
      </c>
      <c r="S893" s="6">
        <v>41.9</v>
      </c>
      <c r="T893" s="4" t="s">
        <v>44</v>
      </c>
      <c r="U893" s="16">
        <v>3</v>
      </c>
    </row>
    <row r="894" spans="1:21" x14ac:dyDescent="0.3">
      <c r="A894" s="13" t="s">
        <v>1238</v>
      </c>
      <c r="B894" s="45">
        <v>45619</v>
      </c>
      <c r="C894" s="1" t="s">
        <v>1176</v>
      </c>
      <c r="D894" s="41" t="s">
        <v>1376</v>
      </c>
      <c r="E894" s="1">
        <v>2024</v>
      </c>
      <c r="F894" s="1" t="s">
        <v>29</v>
      </c>
      <c r="G894" s="60" t="s">
        <v>30</v>
      </c>
      <c r="H894" s="2" t="s">
        <v>24</v>
      </c>
      <c r="I894" s="2" t="s">
        <v>47</v>
      </c>
      <c r="J894" s="2" t="s">
        <v>1239</v>
      </c>
      <c r="K894" s="1">
        <v>20</v>
      </c>
      <c r="L894" s="37">
        <v>23.25</v>
      </c>
      <c r="M894" s="3">
        <v>0</v>
      </c>
      <c r="N894" s="37">
        <v>465</v>
      </c>
      <c r="O894" s="37">
        <v>0</v>
      </c>
      <c r="P894" s="53">
        <v>465</v>
      </c>
      <c r="Q894" s="37">
        <v>211.29</v>
      </c>
      <c r="R894" s="37">
        <v>253.71</v>
      </c>
      <c r="S894" s="3">
        <v>54.6</v>
      </c>
      <c r="T894" s="1" t="s">
        <v>44</v>
      </c>
      <c r="U894" s="15">
        <v>3</v>
      </c>
    </row>
    <row r="895" spans="1:21" x14ac:dyDescent="0.3">
      <c r="A895" s="14" t="s">
        <v>1240</v>
      </c>
      <c r="B895" s="46">
        <v>45619</v>
      </c>
      <c r="C895" s="4" t="s">
        <v>1176</v>
      </c>
      <c r="D895" s="42" t="s">
        <v>1376</v>
      </c>
      <c r="E895" s="4">
        <v>2024</v>
      </c>
      <c r="F895" s="4" t="s">
        <v>53</v>
      </c>
      <c r="G895" s="61" t="s">
        <v>30</v>
      </c>
      <c r="H895" s="5" t="s">
        <v>50</v>
      </c>
      <c r="I895" s="5" t="s">
        <v>47</v>
      </c>
      <c r="J895" s="5" t="s">
        <v>353</v>
      </c>
      <c r="K895" s="4">
        <v>5</v>
      </c>
      <c r="L895" s="38">
        <v>209.93</v>
      </c>
      <c r="M895" s="6">
        <v>10</v>
      </c>
      <c r="N895" s="38">
        <v>1049.6500000000001</v>
      </c>
      <c r="O895" s="38">
        <v>104.97</v>
      </c>
      <c r="P895" s="54">
        <v>944.68</v>
      </c>
      <c r="Q895" s="38">
        <v>562.22</v>
      </c>
      <c r="R895" s="38">
        <v>382.46</v>
      </c>
      <c r="S895" s="6">
        <v>40.5</v>
      </c>
      <c r="T895" s="4" t="s">
        <v>27</v>
      </c>
      <c r="U895" s="16">
        <v>1</v>
      </c>
    </row>
    <row r="896" spans="1:21" x14ac:dyDescent="0.3">
      <c r="A896" s="13" t="s">
        <v>1241</v>
      </c>
      <c r="B896" s="45">
        <v>45620</v>
      </c>
      <c r="C896" s="1" t="s">
        <v>1176</v>
      </c>
      <c r="D896" s="41" t="s">
        <v>1376</v>
      </c>
      <c r="E896" s="1">
        <v>2024</v>
      </c>
      <c r="F896" s="1" t="s">
        <v>22</v>
      </c>
      <c r="G896" s="60" t="s">
        <v>91</v>
      </c>
      <c r="H896" s="2" t="s">
        <v>24</v>
      </c>
      <c r="I896" s="2" t="s">
        <v>38</v>
      </c>
      <c r="J896" s="2" t="s">
        <v>355</v>
      </c>
      <c r="K896" s="1">
        <v>4</v>
      </c>
      <c r="L896" s="37">
        <v>68.12</v>
      </c>
      <c r="M896" s="3">
        <v>20</v>
      </c>
      <c r="N896" s="37">
        <v>272.48</v>
      </c>
      <c r="O896" s="37">
        <v>54.5</v>
      </c>
      <c r="P896" s="53">
        <v>217.98</v>
      </c>
      <c r="Q896" s="37">
        <v>103.53</v>
      </c>
      <c r="R896" s="37">
        <v>114.45</v>
      </c>
      <c r="S896" s="3">
        <v>52.5</v>
      </c>
      <c r="T896" s="1" t="s">
        <v>44</v>
      </c>
      <c r="U896" s="15">
        <v>3</v>
      </c>
    </row>
    <row r="897" spans="1:21" x14ac:dyDescent="0.3">
      <c r="A897" s="14" t="s">
        <v>1242</v>
      </c>
      <c r="B897" s="46">
        <v>45620</v>
      </c>
      <c r="C897" s="4" t="s">
        <v>1176</v>
      </c>
      <c r="D897" s="42" t="s">
        <v>1376</v>
      </c>
      <c r="E897" s="4">
        <v>2024</v>
      </c>
      <c r="F897" s="4" t="s">
        <v>29</v>
      </c>
      <c r="G897" s="61" t="s">
        <v>30</v>
      </c>
      <c r="H897" s="5" t="s">
        <v>50</v>
      </c>
      <c r="I897" s="5" t="s">
        <v>38</v>
      </c>
      <c r="J897" s="5" t="s">
        <v>364</v>
      </c>
      <c r="K897" s="4">
        <v>15</v>
      </c>
      <c r="L897" s="38">
        <v>33.49</v>
      </c>
      <c r="M897" s="6">
        <v>0</v>
      </c>
      <c r="N897" s="38">
        <v>502.35</v>
      </c>
      <c r="O897" s="38">
        <v>0</v>
      </c>
      <c r="P897" s="54">
        <v>502.35</v>
      </c>
      <c r="Q897" s="38">
        <v>306.61</v>
      </c>
      <c r="R897" s="38">
        <v>195.74</v>
      </c>
      <c r="S897" s="6">
        <v>39</v>
      </c>
      <c r="T897" s="4" t="s">
        <v>44</v>
      </c>
      <c r="U897" s="16">
        <v>5</v>
      </c>
    </row>
    <row r="898" spans="1:21" x14ac:dyDescent="0.3">
      <c r="A898" s="13" t="s">
        <v>1243</v>
      </c>
      <c r="B898" s="45">
        <v>45621</v>
      </c>
      <c r="C898" s="1" t="s">
        <v>1176</v>
      </c>
      <c r="D898" s="41" t="s">
        <v>1376</v>
      </c>
      <c r="E898" s="1">
        <v>2024</v>
      </c>
      <c r="F898" s="1" t="s">
        <v>22</v>
      </c>
      <c r="G898" s="60" t="s">
        <v>122</v>
      </c>
      <c r="H898" s="2" t="s">
        <v>37</v>
      </c>
      <c r="I898" s="2" t="s">
        <v>38</v>
      </c>
      <c r="J898" s="2" t="s">
        <v>265</v>
      </c>
      <c r="K898" s="1">
        <v>6</v>
      </c>
      <c r="L898" s="37">
        <v>69.66</v>
      </c>
      <c r="M898" s="3">
        <v>0</v>
      </c>
      <c r="N898" s="37">
        <v>417.96</v>
      </c>
      <c r="O898" s="37">
        <v>0</v>
      </c>
      <c r="P898" s="53">
        <v>417.96</v>
      </c>
      <c r="Q898" s="37">
        <v>255.35</v>
      </c>
      <c r="R898" s="37">
        <v>162.61000000000001</v>
      </c>
      <c r="S898" s="3">
        <v>38.9</v>
      </c>
      <c r="T898" s="1" t="s">
        <v>33</v>
      </c>
      <c r="U898" s="15">
        <v>2</v>
      </c>
    </row>
    <row r="899" spans="1:21" x14ac:dyDescent="0.3">
      <c r="A899" s="14" t="s">
        <v>1244</v>
      </c>
      <c r="B899" s="46">
        <v>45621</v>
      </c>
      <c r="C899" s="4" t="s">
        <v>1176</v>
      </c>
      <c r="D899" s="42" t="s">
        <v>1376</v>
      </c>
      <c r="E899" s="4">
        <v>2024</v>
      </c>
      <c r="F899" s="4" t="s">
        <v>35</v>
      </c>
      <c r="G899" s="61" t="s">
        <v>54</v>
      </c>
      <c r="H899" s="5" t="s">
        <v>59</v>
      </c>
      <c r="I899" s="5" t="s">
        <v>75</v>
      </c>
      <c r="J899" s="5" t="s">
        <v>1200</v>
      </c>
      <c r="K899" s="4">
        <v>6</v>
      </c>
      <c r="L899" s="38">
        <v>190.08</v>
      </c>
      <c r="M899" s="6">
        <v>0</v>
      </c>
      <c r="N899" s="38">
        <v>1140.48</v>
      </c>
      <c r="O899" s="38">
        <v>0</v>
      </c>
      <c r="P899" s="54">
        <v>1140.48</v>
      </c>
      <c r="Q899" s="38">
        <v>476.74</v>
      </c>
      <c r="R899" s="38">
        <v>663.74</v>
      </c>
      <c r="S899" s="6">
        <v>58.2</v>
      </c>
      <c r="T899" s="4" t="s">
        <v>27</v>
      </c>
      <c r="U899" s="16">
        <v>2</v>
      </c>
    </row>
    <row r="900" spans="1:21" x14ac:dyDescent="0.3">
      <c r="A900" s="13" t="s">
        <v>1245</v>
      </c>
      <c r="B900" s="45">
        <v>45622</v>
      </c>
      <c r="C900" s="1" t="s">
        <v>1176</v>
      </c>
      <c r="D900" s="41" t="s">
        <v>1376</v>
      </c>
      <c r="E900" s="1">
        <v>2024</v>
      </c>
      <c r="F900" s="1" t="s">
        <v>35</v>
      </c>
      <c r="G900" s="60" t="s">
        <v>66</v>
      </c>
      <c r="H900" s="2" t="s">
        <v>59</v>
      </c>
      <c r="I900" s="2" t="s">
        <v>31</v>
      </c>
      <c r="J900" s="2" t="s">
        <v>245</v>
      </c>
      <c r="K900" s="1">
        <v>7</v>
      </c>
      <c r="L900" s="37">
        <v>94.66</v>
      </c>
      <c r="M900" s="3">
        <v>5</v>
      </c>
      <c r="N900" s="37">
        <v>662.62</v>
      </c>
      <c r="O900" s="37">
        <v>33.130000000000003</v>
      </c>
      <c r="P900" s="53">
        <v>629.49</v>
      </c>
      <c r="Q900" s="37">
        <v>343.6</v>
      </c>
      <c r="R900" s="37">
        <v>285.89</v>
      </c>
      <c r="S900" s="3">
        <v>45.4</v>
      </c>
      <c r="T900" s="1" t="s">
        <v>44</v>
      </c>
      <c r="U900" s="15">
        <v>1</v>
      </c>
    </row>
    <row r="901" spans="1:21" x14ac:dyDescent="0.3">
      <c r="A901" s="14" t="s">
        <v>1246</v>
      </c>
      <c r="B901" s="46">
        <v>45622</v>
      </c>
      <c r="C901" s="4" t="s">
        <v>1176</v>
      </c>
      <c r="D901" s="42" t="s">
        <v>1376</v>
      </c>
      <c r="E901" s="4">
        <v>2024</v>
      </c>
      <c r="F901" s="4" t="s">
        <v>29</v>
      </c>
      <c r="G901" s="61" t="s">
        <v>42</v>
      </c>
      <c r="H901" s="5" t="s">
        <v>50</v>
      </c>
      <c r="I901" s="5" t="s">
        <v>25</v>
      </c>
      <c r="J901" s="5" t="s">
        <v>71</v>
      </c>
      <c r="K901" s="4">
        <v>7</v>
      </c>
      <c r="L901" s="38">
        <v>125.29</v>
      </c>
      <c r="M901" s="6">
        <v>15</v>
      </c>
      <c r="N901" s="38">
        <v>877.03</v>
      </c>
      <c r="O901" s="38">
        <v>131.55000000000001</v>
      </c>
      <c r="P901" s="54">
        <v>745.48</v>
      </c>
      <c r="Q901" s="38">
        <v>395.62</v>
      </c>
      <c r="R901" s="38">
        <v>349.86</v>
      </c>
      <c r="S901" s="6">
        <v>46.9</v>
      </c>
      <c r="T901" s="4" t="s">
        <v>44</v>
      </c>
      <c r="U901" s="16">
        <v>1</v>
      </c>
    </row>
    <row r="902" spans="1:21" x14ac:dyDescent="0.3">
      <c r="A902" s="13" t="s">
        <v>1247</v>
      </c>
      <c r="B902" s="45">
        <v>45622</v>
      </c>
      <c r="C902" s="1" t="s">
        <v>1176</v>
      </c>
      <c r="D902" s="41" t="s">
        <v>1376</v>
      </c>
      <c r="E902" s="1">
        <v>2024</v>
      </c>
      <c r="F902" s="1" t="s">
        <v>22</v>
      </c>
      <c r="G902" s="60" t="s">
        <v>122</v>
      </c>
      <c r="H902" s="2" t="s">
        <v>24</v>
      </c>
      <c r="I902" s="2" t="s">
        <v>38</v>
      </c>
      <c r="J902" s="2" t="s">
        <v>364</v>
      </c>
      <c r="K902" s="1">
        <v>5</v>
      </c>
      <c r="L902" s="37">
        <v>53.83</v>
      </c>
      <c r="M902" s="3">
        <v>0</v>
      </c>
      <c r="N902" s="37">
        <v>269.14999999999998</v>
      </c>
      <c r="O902" s="37">
        <v>0</v>
      </c>
      <c r="P902" s="53">
        <v>269.14999999999998</v>
      </c>
      <c r="Q902" s="37">
        <v>95.13</v>
      </c>
      <c r="R902" s="37">
        <v>174.02</v>
      </c>
      <c r="S902" s="3">
        <v>64.7</v>
      </c>
      <c r="T902" s="1" t="s">
        <v>44</v>
      </c>
      <c r="U902" s="15">
        <v>4</v>
      </c>
    </row>
    <row r="903" spans="1:21" x14ac:dyDescent="0.3">
      <c r="A903" s="14" t="s">
        <v>1248</v>
      </c>
      <c r="B903" s="46">
        <v>45623</v>
      </c>
      <c r="C903" s="4" t="s">
        <v>1176</v>
      </c>
      <c r="D903" s="42" t="s">
        <v>1376</v>
      </c>
      <c r="E903" s="4">
        <v>2024</v>
      </c>
      <c r="F903" s="4" t="s">
        <v>29</v>
      </c>
      <c r="G903" s="61" t="s">
        <v>66</v>
      </c>
      <c r="H903" s="5" t="s">
        <v>37</v>
      </c>
      <c r="I903" s="5" t="s">
        <v>55</v>
      </c>
      <c r="J903" s="5" t="s">
        <v>641</v>
      </c>
      <c r="K903" s="4">
        <v>2</v>
      </c>
      <c r="L903" s="38">
        <v>733.55</v>
      </c>
      <c r="M903" s="6">
        <v>0</v>
      </c>
      <c r="N903" s="38">
        <v>1467.1</v>
      </c>
      <c r="O903" s="38">
        <v>0</v>
      </c>
      <c r="P903" s="54">
        <v>1467.1</v>
      </c>
      <c r="Q903" s="38">
        <v>855.65</v>
      </c>
      <c r="R903" s="38">
        <v>611.45000000000005</v>
      </c>
      <c r="S903" s="6">
        <v>41.7</v>
      </c>
      <c r="T903" s="4" t="s">
        <v>44</v>
      </c>
      <c r="U903" s="16">
        <v>1</v>
      </c>
    </row>
    <row r="904" spans="1:21" x14ac:dyDescent="0.3">
      <c r="A904" s="13" t="s">
        <v>1249</v>
      </c>
      <c r="B904" s="45">
        <v>45623</v>
      </c>
      <c r="C904" s="1" t="s">
        <v>1176</v>
      </c>
      <c r="D904" s="41" t="s">
        <v>1376</v>
      </c>
      <c r="E904" s="1">
        <v>2024</v>
      </c>
      <c r="F904" s="1" t="s">
        <v>29</v>
      </c>
      <c r="G904" s="60" t="s">
        <v>46</v>
      </c>
      <c r="H904" s="2" t="s">
        <v>50</v>
      </c>
      <c r="I904" s="2" t="s">
        <v>47</v>
      </c>
      <c r="J904" s="2" t="s">
        <v>597</v>
      </c>
      <c r="K904" s="1">
        <v>14</v>
      </c>
      <c r="L904" s="37">
        <v>164.21</v>
      </c>
      <c r="M904" s="3">
        <v>0</v>
      </c>
      <c r="N904" s="37">
        <v>2298.94</v>
      </c>
      <c r="O904" s="37">
        <v>0</v>
      </c>
      <c r="P904" s="53">
        <v>2298.94</v>
      </c>
      <c r="Q904" s="37">
        <v>1068.42</v>
      </c>
      <c r="R904" s="37">
        <v>1230.52</v>
      </c>
      <c r="S904" s="3">
        <v>53.5</v>
      </c>
      <c r="T904" s="1" t="s">
        <v>44</v>
      </c>
      <c r="U904" s="15">
        <v>2</v>
      </c>
    </row>
    <row r="905" spans="1:21" x14ac:dyDescent="0.3">
      <c r="A905" s="14" t="s">
        <v>1250</v>
      </c>
      <c r="B905" s="46">
        <v>45624</v>
      </c>
      <c r="C905" s="4" t="s">
        <v>1176</v>
      </c>
      <c r="D905" s="42" t="s">
        <v>1376</v>
      </c>
      <c r="E905" s="4">
        <v>2024</v>
      </c>
      <c r="F905" s="4" t="s">
        <v>53</v>
      </c>
      <c r="G905" s="61" t="s">
        <v>23</v>
      </c>
      <c r="H905" s="5" t="s">
        <v>59</v>
      </c>
      <c r="I905" s="5" t="s">
        <v>25</v>
      </c>
      <c r="J905" s="5" t="s">
        <v>286</v>
      </c>
      <c r="K905" s="4">
        <v>3</v>
      </c>
      <c r="L905" s="38">
        <v>94.45</v>
      </c>
      <c r="M905" s="6">
        <v>0</v>
      </c>
      <c r="N905" s="38">
        <v>283.35000000000002</v>
      </c>
      <c r="O905" s="38">
        <v>0</v>
      </c>
      <c r="P905" s="54">
        <v>283.35000000000002</v>
      </c>
      <c r="Q905" s="38">
        <v>125.08</v>
      </c>
      <c r="R905" s="38">
        <v>158.27000000000001</v>
      </c>
      <c r="S905" s="6">
        <v>55.9</v>
      </c>
      <c r="T905" s="4" t="s">
        <v>44</v>
      </c>
      <c r="U905" s="16">
        <v>1</v>
      </c>
    </row>
    <row r="906" spans="1:21" x14ac:dyDescent="0.3">
      <c r="A906" s="13" t="s">
        <v>1251</v>
      </c>
      <c r="B906" s="45">
        <v>45624</v>
      </c>
      <c r="C906" s="1" t="s">
        <v>1176</v>
      </c>
      <c r="D906" s="41" t="s">
        <v>1376</v>
      </c>
      <c r="E906" s="1">
        <v>2024</v>
      </c>
      <c r="F906" s="1" t="s">
        <v>35</v>
      </c>
      <c r="G906" s="60" t="s">
        <v>58</v>
      </c>
      <c r="H906" s="2" t="s">
        <v>37</v>
      </c>
      <c r="I906" s="2" t="s">
        <v>75</v>
      </c>
      <c r="J906" s="2" t="s">
        <v>233</v>
      </c>
      <c r="K906" s="1">
        <v>14</v>
      </c>
      <c r="L906" s="37">
        <v>285.73</v>
      </c>
      <c r="M906" s="3">
        <v>10</v>
      </c>
      <c r="N906" s="37">
        <v>4000.22</v>
      </c>
      <c r="O906" s="37">
        <v>400.02</v>
      </c>
      <c r="P906" s="53">
        <v>3600.2</v>
      </c>
      <c r="Q906" s="37">
        <v>1304.55</v>
      </c>
      <c r="R906" s="37">
        <v>2295.65</v>
      </c>
      <c r="S906" s="3">
        <v>63.8</v>
      </c>
      <c r="T906" s="1" t="s">
        <v>44</v>
      </c>
      <c r="U906" s="15">
        <v>2</v>
      </c>
    </row>
    <row r="907" spans="1:21" x14ac:dyDescent="0.3">
      <c r="A907" s="14" t="s">
        <v>1252</v>
      </c>
      <c r="B907" s="46">
        <v>45624</v>
      </c>
      <c r="C907" s="4" t="s">
        <v>1176</v>
      </c>
      <c r="D907" s="42" t="s">
        <v>1376</v>
      </c>
      <c r="E907" s="4">
        <v>2024</v>
      </c>
      <c r="F907" s="4" t="s">
        <v>22</v>
      </c>
      <c r="G907" s="61" t="s">
        <v>42</v>
      </c>
      <c r="H907" s="5" t="s">
        <v>59</v>
      </c>
      <c r="I907" s="5" t="s">
        <v>38</v>
      </c>
      <c r="J907" s="5" t="s">
        <v>120</v>
      </c>
      <c r="K907" s="4">
        <v>7</v>
      </c>
      <c r="L907" s="38">
        <v>40.93</v>
      </c>
      <c r="M907" s="6">
        <v>0</v>
      </c>
      <c r="N907" s="38">
        <v>286.51</v>
      </c>
      <c r="O907" s="38">
        <v>0</v>
      </c>
      <c r="P907" s="54">
        <v>286.51</v>
      </c>
      <c r="Q907" s="38">
        <v>146.69</v>
      </c>
      <c r="R907" s="38">
        <v>139.82</v>
      </c>
      <c r="S907" s="6">
        <v>48.8</v>
      </c>
      <c r="T907" s="4" t="s">
        <v>44</v>
      </c>
      <c r="U907" s="16">
        <v>4</v>
      </c>
    </row>
    <row r="908" spans="1:21" x14ac:dyDescent="0.3">
      <c r="A908" s="13" t="s">
        <v>1253</v>
      </c>
      <c r="B908" s="45">
        <v>45625</v>
      </c>
      <c r="C908" s="1" t="s">
        <v>1176</v>
      </c>
      <c r="D908" s="41" t="s">
        <v>1376</v>
      </c>
      <c r="E908" s="1">
        <v>2024</v>
      </c>
      <c r="F908" s="1" t="s">
        <v>35</v>
      </c>
      <c r="G908" s="60" t="s">
        <v>23</v>
      </c>
      <c r="H908" s="2" t="s">
        <v>24</v>
      </c>
      <c r="I908" s="2" t="s">
        <v>47</v>
      </c>
      <c r="J908" s="2" t="s">
        <v>164</v>
      </c>
      <c r="K908" s="1">
        <v>5</v>
      </c>
      <c r="L908" s="37">
        <v>105.27</v>
      </c>
      <c r="M908" s="3">
        <v>20</v>
      </c>
      <c r="N908" s="37">
        <v>526.35</v>
      </c>
      <c r="O908" s="37">
        <v>105.27</v>
      </c>
      <c r="P908" s="53">
        <v>421.08</v>
      </c>
      <c r="Q908" s="37">
        <v>166.27</v>
      </c>
      <c r="R908" s="37">
        <v>254.81</v>
      </c>
      <c r="S908" s="3">
        <v>60.5</v>
      </c>
      <c r="T908" s="1" t="s">
        <v>44</v>
      </c>
      <c r="U908" s="15">
        <v>4</v>
      </c>
    </row>
    <row r="909" spans="1:21" x14ac:dyDescent="0.3">
      <c r="A909" s="14" t="s">
        <v>1254</v>
      </c>
      <c r="B909" s="46">
        <v>45625</v>
      </c>
      <c r="C909" s="4" t="s">
        <v>1176</v>
      </c>
      <c r="D909" s="42" t="s">
        <v>1376</v>
      </c>
      <c r="E909" s="4">
        <v>2024</v>
      </c>
      <c r="F909" s="4" t="s">
        <v>53</v>
      </c>
      <c r="G909" s="61" t="s">
        <v>91</v>
      </c>
      <c r="H909" s="5" t="s">
        <v>24</v>
      </c>
      <c r="I909" s="5" t="s">
        <v>31</v>
      </c>
      <c r="J909" s="5" t="s">
        <v>477</v>
      </c>
      <c r="K909" s="4">
        <v>20</v>
      </c>
      <c r="L909" s="38">
        <v>88.67</v>
      </c>
      <c r="M909" s="6">
        <v>15</v>
      </c>
      <c r="N909" s="38">
        <v>1773.4</v>
      </c>
      <c r="O909" s="38">
        <v>266.01</v>
      </c>
      <c r="P909" s="54">
        <v>1507.39</v>
      </c>
      <c r="Q909" s="38">
        <v>754.78</v>
      </c>
      <c r="R909" s="38">
        <v>752.61</v>
      </c>
      <c r="S909" s="6">
        <v>49.9</v>
      </c>
      <c r="T909" s="4" t="s">
        <v>44</v>
      </c>
      <c r="U909" s="16">
        <v>2</v>
      </c>
    </row>
    <row r="910" spans="1:21" x14ac:dyDescent="0.3">
      <c r="A910" s="13" t="s">
        <v>1255</v>
      </c>
      <c r="B910" s="45">
        <v>45625</v>
      </c>
      <c r="C910" s="1" t="s">
        <v>1176</v>
      </c>
      <c r="D910" s="41" t="s">
        <v>1376</v>
      </c>
      <c r="E910" s="1">
        <v>2024</v>
      </c>
      <c r="F910" s="1" t="s">
        <v>41</v>
      </c>
      <c r="G910" s="60" t="s">
        <v>66</v>
      </c>
      <c r="H910" s="2" t="s">
        <v>37</v>
      </c>
      <c r="I910" s="2" t="s">
        <v>38</v>
      </c>
      <c r="J910" s="2" t="s">
        <v>445</v>
      </c>
      <c r="K910" s="1">
        <v>9</v>
      </c>
      <c r="L910" s="37">
        <v>28.94</v>
      </c>
      <c r="M910" s="3">
        <v>10</v>
      </c>
      <c r="N910" s="37">
        <v>260.45999999999998</v>
      </c>
      <c r="O910" s="37">
        <v>26.05</v>
      </c>
      <c r="P910" s="53">
        <v>234.41</v>
      </c>
      <c r="Q910" s="37">
        <v>97.57</v>
      </c>
      <c r="R910" s="37">
        <v>136.84</v>
      </c>
      <c r="S910" s="3">
        <v>58.4</v>
      </c>
      <c r="T910" s="1" t="s">
        <v>27</v>
      </c>
      <c r="U910" s="15">
        <v>4</v>
      </c>
    </row>
    <row r="911" spans="1:21" x14ac:dyDescent="0.3">
      <c r="A911" s="14" t="s">
        <v>1256</v>
      </c>
      <c r="B911" s="46">
        <v>45626</v>
      </c>
      <c r="C911" s="4" t="s">
        <v>1176</v>
      </c>
      <c r="D911" s="42" t="s">
        <v>1376</v>
      </c>
      <c r="E911" s="4">
        <v>2024</v>
      </c>
      <c r="F911" s="4" t="s">
        <v>35</v>
      </c>
      <c r="G911" s="61" t="s">
        <v>46</v>
      </c>
      <c r="H911" s="5" t="s">
        <v>59</v>
      </c>
      <c r="I911" s="5" t="s">
        <v>38</v>
      </c>
      <c r="J911" s="5" t="s">
        <v>320</v>
      </c>
      <c r="K911" s="4">
        <v>11</v>
      </c>
      <c r="L911" s="38">
        <v>60.12</v>
      </c>
      <c r="M911" s="6">
        <v>20</v>
      </c>
      <c r="N911" s="38">
        <v>661.32</v>
      </c>
      <c r="O911" s="38">
        <v>132.26</v>
      </c>
      <c r="P911" s="54">
        <v>529.05999999999995</v>
      </c>
      <c r="Q911" s="38">
        <v>193.19</v>
      </c>
      <c r="R911" s="38">
        <v>335.87</v>
      </c>
      <c r="S911" s="6">
        <v>63.5</v>
      </c>
      <c r="T911" s="4" t="s">
        <v>27</v>
      </c>
      <c r="U911" s="16">
        <v>1</v>
      </c>
    </row>
    <row r="912" spans="1:21" x14ac:dyDescent="0.3">
      <c r="A912" s="13" t="s">
        <v>1257</v>
      </c>
      <c r="B912" s="45">
        <v>45626</v>
      </c>
      <c r="C912" s="1" t="s">
        <v>1176</v>
      </c>
      <c r="D912" s="41" t="s">
        <v>1376</v>
      </c>
      <c r="E912" s="1">
        <v>2024</v>
      </c>
      <c r="F912" s="1" t="s">
        <v>53</v>
      </c>
      <c r="G912" s="60" t="s">
        <v>58</v>
      </c>
      <c r="H912" s="2" t="s">
        <v>24</v>
      </c>
      <c r="I912" s="2" t="s">
        <v>38</v>
      </c>
      <c r="J912" s="2" t="s">
        <v>396</v>
      </c>
      <c r="K912" s="1">
        <v>3</v>
      </c>
      <c r="L912" s="37">
        <v>52.47</v>
      </c>
      <c r="M912" s="3">
        <v>15</v>
      </c>
      <c r="N912" s="37">
        <v>157.41</v>
      </c>
      <c r="O912" s="37">
        <v>23.61</v>
      </c>
      <c r="P912" s="53">
        <v>133.80000000000001</v>
      </c>
      <c r="Q912" s="37">
        <v>76.2</v>
      </c>
      <c r="R912" s="37">
        <v>57.6</v>
      </c>
      <c r="S912" s="3">
        <v>43</v>
      </c>
      <c r="T912" s="1" t="s">
        <v>44</v>
      </c>
      <c r="U912" s="15">
        <v>3</v>
      </c>
    </row>
    <row r="913" spans="1:21" x14ac:dyDescent="0.3">
      <c r="A913" s="14" t="s">
        <v>1258</v>
      </c>
      <c r="B913" s="46">
        <v>45627</v>
      </c>
      <c r="C913" s="4" t="s">
        <v>1259</v>
      </c>
      <c r="D913" s="42" t="s">
        <v>1376</v>
      </c>
      <c r="E913" s="4">
        <v>2024</v>
      </c>
      <c r="F913" s="4" t="s">
        <v>35</v>
      </c>
      <c r="G913" s="61" t="s">
        <v>66</v>
      </c>
      <c r="H913" s="5" t="s">
        <v>37</v>
      </c>
      <c r="I913" s="5" t="s">
        <v>38</v>
      </c>
      <c r="J913" s="5" t="s">
        <v>320</v>
      </c>
      <c r="K913" s="4">
        <v>3</v>
      </c>
      <c r="L913" s="38">
        <v>77.58</v>
      </c>
      <c r="M913" s="6">
        <v>0</v>
      </c>
      <c r="N913" s="38">
        <v>232.74</v>
      </c>
      <c r="O913" s="38">
        <v>0</v>
      </c>
      <c r="P913" s="54">
        <v>232.74</v>
      </c>
      <c r="Q913" s="38">
        <v>108.89</v>
      </c>
      <c r="R913" s="38">
        <v>123.85</v>
      </c>
      <c r="S913" s="6">
        <v>53.2</v>
      </c>
      <c r="T913" s="4" t="s">
        <v>33</v>
      </c>
      <c r="U913" s="16">
        <v>2</v>
      </c>
    </row>
    <row r="914" spans="1:21" x14ac:dyDescent="0.3">
      <c r="A914" s="13" t="s">
        <v>1260</v>
      </c>
      <c r="B914" s="45">
        <v>45627</v>
      </c>
      <c r="C914" s="1" t="s">
        <v>1259</v>
      </c>
      <c r="D914" s="41" t="s">
        <v>1376</v>
      </c>
      <c r="E914" s="1">
        <v>2024</v>
      </c>
      <c r="F914" s="1" t="s">
        <v>22</v>
      </c>
      <c r="G914" s="60" t="s">
        <v>122</v>
      </c>
      <c r="H914" s="2" t="s">
        <v>37</v>
      </c>
      <c r="I914" s="2" t="s">
        <v>25</v>
      </c>
      <c r="J914" s="2" t="s">
        <v>94</v>
      </c>
      <c r="K914" s="1">
        <v>13</v>
      </c>
      <c r="L914" s="37">
        <v>119.48</v>
      </c>
      <c r="M914" s="3">
        <v>5</v>
      </c>
      <c r="N914" s="37">
        <v>1553.24</v>
      </c>
      <c r="O914" s="37">
        <v>77.66</v>
      </c>
      <c r="P914" s="53">
        <v>1475.58</v>
      </c>
      <c r="Q914" s="37">
        <v>713.72</v>
      </c>
      <c r="R914" s="37">
        <v>761.86</v>
      </c>
      <c r="S914" s="3">
        <v>51.6</v>
      </c>
      <c r="T914" s="1" t="s">
        <v>44</v>
      </c>
      <c r="U914" s="15">
        <v>5</v>
      </c>
    </row>
    <row r="915" spans="1:21" x14ac:dyDescent="0.3">
      <c r="A915" s="14" t="s">
        <v>1261</v>
      </c>
      <c r="B915" s="46">
        <v>45627</v>
      </c>
      <c r="C915" s="4" t="s">
        <v>1259</v>
      </c>
      <c r="D915" s="42" t="s">
        <v>1376</v>
      </c>
      <c r="E915" s="4">
        <v>2024</v>
      </c>
      <c r="F915" s="4" t="s">
        <v>53</v>
      </c>
      <c r="G915" s="61" t="s">
        <v>23</v>
      </c>
      <c r="H915" s="5" t="s">
        <v>50</v>
      </c>
      <c r="I915" s="5" t="s">
        <v>55</v>
      </c>
      <c r="J915" s="5" t="s">
        <v>619</v>
      </c>
      <c r="K915" s="4">
        <v>18</v>
      </c>
      <c r="L915" s="38">
        <v>424.77</v>
      </c>
      <c r="M915" s="6">
        <v>20</v>
      </c>
      <c r="N915" s="38">
        <v>7645.86</v>
      </c>
      <c r="O915" s="38">
        <v>1529.17</v>
      </c>
      <c r="P915" s="54">
        <v>6116.69</v>
      </c>
      <c r="Q915" s="38">
        <v>3232.91</v>
      </c>
      <c r="R915" s="38">
        <v>2883.78</v>
      </c>
      <c r="S915" s="6">
        <v>47.1</v>
      </c>
      <c r="T915" s="4" t="s">
        <v>27</v>
      </c>
      <c r="U915" s="16">
        <v>5</v>
      </c>
    </row>
    <row r="916" spans="1:21" x14ac:dyDescent="0.3">
      <c r="A916" s="13" t="s">
        <v>1262</v>
      </c>
      <c r="B916" s="45">
        <v>45628</v>
      </c>
      <c r="C916" s="1" t="s">
        <v>1259</v>
      </c>
      <c r="D916" s="41" t="s">
        <v>1376</v>
      </c>
      <c r="E916" s="1">
        <v>2024</v>
      </c>
      <c r="F916" s="1" t="s">
        <v>41</v>
      </c>
      <c r="G916" s="60" t="s">
        <v>58</v>
      </c>
      <c r="H916" s="2" t="s">
        <v>24</v>
      </c>
      <c r="I916" s="2" t="s">
        <v>38</v>
      </c>
      <c r="J916" s="2" t="s">
        <v>798</v>
      </c>
      <c r="K916" s="1">
        <v>13</v>
      </c>
      <c r="L916" s="37">
        <v>26.02</v>
      </c>
      <c r="M916" s="3">
        <v>10</v>
      </c>
      <c r="N916" s="37">
        <v>338.26</v>
      </c>
      <c r="O916" s="37">
        <v>33.83</v>
      </c>
      <c r="P916" s="53">
        <v>304.43</v>
      </c>
      <c r="Q916" s="37">
        <v>152.65</v>
      </c>
      <c r="R916" s="37">
        <v>151.78</v>
      </c>
      <c r="S916" s="3">
        <v>49.9</v>
      </c>
      <c r="T916" s="1" t="s">
        <v>27</v>
      </c>
      <c r="U916" s="15">
        <v>5</v>
      </c>
    </row>
    <row r="917" spans="1:21" x14ac:dyDescent="0.3">
      <c r="A917" s="14" t="s">
        <v>1263</v>
      </c>
      <c r="B917" s="46">
        <v>45629</v>
      </c>
      <c r="C917" s="4" t="s">
        <v>1259</v>
      </c>
      <c r="D917" s="42" t="s">
        <v>1376</v>
      </c>
      <c r="E917" s="4">
        <v>2024</v>
      </c>
      <c r="F917" s="4" t="s">
        <v>35</v>
      </c>
      <c r="G917" s="61" t="s">
        <v>23</v>
      </c>
      <c r="H917" s="5" t="s">
        <v>59</v>
      </c>
      <c r="I917" s="5" t="s">
        <v>38</v>
      </c>
      <c r="J917" s="5" t="s">
        <v>646</v>
      </c>
      <c r="K917" s="4">
        <v>18</v>
      </c>
      <c r="L917" s="38">
        <v>63.94</v>
      </c>
      <c r="M917" s="6">
        <v>10</v>
      </c>
      <c r="N917" s="38">
        <v>1150.92</v>
      </c>
      <c r="O917" s="38">
        <v>115.09</v>
      </c>
      <c r="P917" s="54">
        <v>1035.83</v>
      </c>
      <c r="Q917" s="38">
        <v>431.55</v>
      </c>
      <c r="R917" s="38">
        <v>604.28</v>
      </c>
      <c r="S917" s="6">
        <v>58.3</v>
      </c>
      <c r="T917" s="4" t="s">
        <v>44</v>
      </c>
      <c r="U917" s="16">
        <v>3</v>
      </c>
    </row>
    <row r="918" spans="1:21" x14ac:dyDescent="0.3">
      <c r="A918" s="13" t="s">
        <v>1264</v>
      </c>
      <c r="B918" s="45">
        <v>45629</v>
      </c>
      <c r="C918" s="1" t="s">
        <v>1259</v>
      </c>
      <c r="D918" s="41" t="s">
        <v>1376</v>
      </c>
      <c r="E918" s="1">
        <v>2024</v>
      </c>
      <c r="F918" s="1" t="s">
        <v>53</v>
      </c>
      <c r="G918" s="60" t="s">
        <v>122</v>
      </c>
      <c r="H918" s="2" t="s">
        <v>24</v>
      </c>
      <c r="I918" s="2" t="s">
        <v>75</v>
      </c>
      <c r="J918" s="2" t="s">
        <v>1007</v>
      </c>
      <c r="K918" s="1">
        <v>11</v>
      </c>
      <c r="L918" s="37">
        <v>161.88</v>
      </c>
      <c r="M918" s="3">
        <v>0</v>
      </c>
      <c r="N918" s="37">
        <v>1780.68</v>
      </c>
      <c r="O918" s="37">
        <v>0</v>
      </c>
      <c r="P918" s="53">
        <v>1780.68</v>
      </c>
      <c r="Q918" s="37">
        <v>778.04</v>
      </c>
      <c r="R918" s="37">
        <v>1002.64</v>
      </c>
      <c r="S918" s="3">
        <v>56.3</v>
      </c>
      <c r="T918" s="1" t="s">
        <v>33</v>
      </c>
      <c r="U918" s="15">
        <v>3</v>
      </c>
    </row>
    <row r="919" spans="1:21" x14ac:dyDescent="0.3">
      <c r="A919" s="14" t="s">
        <v>1265</v>
      </c>
      <c r="B919" s="46">
        <v>45629</v>
      </c>
      <c r="C919" s="4" t="s">
        <v>1259</v>
      </c>
      <c r="D919" s="42" t="s">
        <v>1376</v>
      </c>
      <c r="E919" s="4">
        <v>2024</v>
      </c>
      <c r="F919" s="4" t="s">
        <v>41</v>
      </c>
      <c r="G919" s="61" t="s">
        <v>58</v>
      </c>
      <c r="H919" s="5" t="s">
        <v>50</v>
      </c>
      <c r="I919" s="5" t="s">
        <v>25</v>
      </c>
      <c r="J919" s="5" t="s">
        <v>328</v>
      </c>
      <c r="K919" s="4">
        <v>9</v>
      </c>
      <c r="L919" s="38">
        <v>140.49</v>
      </c>
      <c r="M919" s="6">
        <v>0</v>
      </c>
      <c r="N919" s="38">
        <v>1264.4100000000001</v>
      </c>
      <c r="O919" s="38">
        <v>0</v>
      </c>
      <c r="P919" s="54">
        <v>1264.4100000000001</v>
      </c>
      <c r="Q919" s="38">
        <v>592.12</v>
      </c>
      <c r="R919" s="38">
        <v>672.29</v>
      </c>
      <c r="S919" s="6">
        <v>53.2</v>
      </c>
      <c r="T919" s="4" t="s">
        <v>44</v>
      </c>
      <c r="U919" s="16">
        <v>4</v>
      </c>
    </row>
    <row r="920" spans="1:21" x14ac:dyDescent="0.3">
      <c r="A920" s="13" t="s">
        <v>1266</v>
      </c>
      <c r="B920" s="45">
        <v>45629</v>
      </c>
      <c r="C920" s="1" t="s">
        <v>1259</v>
      </c>
      <c r="D920" s="41" t="s">
        <v>1376</v>
      </c>
      <c r="E920" s="1">
        <v>2024</v>
      </c>
      <c r="F920" s="1" t="s">
        <v>22</v>
      </c>
      <c r="G920" s="60" t="s">
        <v>30</v>
      </c>
      <c r="H920" s="2" t="s">
        <v>37</v>
      </c>
      <c r="I920" s="2" t="s">
        <v>47</v>
      </c>
      <c r="J920" s="2" t="s">
        <v>463</v>
      </c>
      <c r="K920" s="1">
        <v>17</v>
      </c>
      <c r="L920" s="37">
        <v>115.9</v>
      </c>
      <c r="M920" s="3">
        <v>20</v>
      </c>
      <c r="N920" s="37">
        <v>1970.3</v>
      </c>
      <c r="O920" s="37">
        <v>394.06</v>
      </c>
      <c r="P920" s="53">
        <v>1576.24</v>
      </c>
      <c r="Q920" s="37">
        <v>614.19000000000005</v>
      </c>
      <c r="R920" s="37">
        <v>962.05</v>
      </c>
      <c r="S920" s="3">
        <v>61</v>
      </c>
      <c r="T920" s="1" t="s">
        <v>44</v>
      </c>
      <c r="U920" s="15">
        <v>2</v>
      </c>
    </row>
    <row r="921" spans="1:21" x14ac:dyDescent="0.3">
      <c r="A921" s="14" t="s">
        <v>1267</v>
      </c>
      <c r="B921" s="46">
        <v>45630</v>
      </c>
      <c r="C921" s="4" t="s">
        <v>1259</v>
      </c>
      <c r="D921" s="42" t="s">
        <v>1376</v>
      </c>
      <c r="E921" s="4">
        <v>2024</v>
      </c>
      <c r="F921" s="4" t="s">
        <v>35</v>
      </c>
      <c r="G921" s="61" t="s">
        <v>46</v>
      </c>
      <c r="H921" s="5" t="s">
        <v>59</v>
      </c>
      <c r="I921" s="5" t="s">
        <v>55</v>
      </c>
      <c r="J921" s="5" t="s">
        <v>1268</v>
      </c>
      <c r="K921" s="4">
        <v>15</v>
      </c>
      <c r="L921" s="38">
        <v>1196.8499999999999</v>
      </c>
      <c r="M921" s="6">
        <v>15</v>
      </c>
      <c r="N921" s="38">
        <v>17952.75</v>
      </c>
      <c r="O921" s="38">
        <v>2692.91</v>
      </c>
      <c r="P921" s="54">
        <v>15259.84</v>
      </c>
      <c r="Q921" s="38">
        <v>5718.83</v>
      </c>
      <c r="R921" s="38">
        <v>9541.01</v>
      </c>
      <c r="S921" s="6">
        <v>62.5</v>
      </c>
      <c r="T921" s="4" t="s">
        <v>44</v>
      </c>
      <c r="U921" s="16">
        <v>5</v>
      </c>
    </row>
    <row r="922" spans="1:21" x14ac:dyDescent="0.3">
      <c r="A922" s="13" t="s">
        <v>1269</v>
      </c>
      <c r="B922" s="45">
        <v>45630</v>
      </c>
      <c r="C922" s="1" t="s">
        <v>1259</v>
      </c>
      <c r="D922" s="41" t="s">
        <v>1376</v>
      </c>
      <c r="E922" s="1">
        <v>2024</v>
      </c>
      <c r="F922" s="1" t="s">
        <v>29</v>
      </c>
      <c r="G922" s="60" t="s">
        <v>30</v>
      </c>
      <c r="H922" s="2" t="s">
        <v>37</v>
      </c>
      <c r="I922" s="2" t="s">
        <v>47</v>
      </c>
      <c r="J922" s="2" t="s">
        <v>83</v>
      </c>
      <c r="K922" s="1">
        <v>1</v>
      </c>
      <c r="L922" s="37">
        <v>106.37</v>
      </c>
      <c r="M922" s="3">
        <v>0</v>
      </c>
      <c r="N922" s="37">
        <v>106.37</v>
      </c>
      <c r="O922" s="37">
        <v>0</v>
      </c>
      <c r="P922" s="53">
        <v>106.37</v>
      </c>
      <c r="Q922" s="37">
        <v>55.46</v>
      </c>
      <c r="R922" s="37">
        <v>50.91</v>
      </c>
      <c r="S922" s="3">
        <v>47.9</v>
      </c>
      <c r="T922" s="1" t="s">
        <v>44</v>
      </c>
      <c r="U922" s="15">
        <v>1</v>
      </c>
    </row>
    <row r="923" spans="1:21" x14ac:dyDescent="0.3">
      <c r="A923" s="14" t="s">
        <v>1270</v>
      </c>
      <c r="B923" s="46">
        <v>45630</v>
      </c>
      <c r="C923" s="4" t="s">
        <v>1259</v>
      </c>
      <c r="D923" s="42" t="s">
        <v>1376</v>
      </c>
      <c r="E923" s="4">
        <v>2024</v>
      </c>
      <c r="F923" s="4" t="s">
        <v>22</v>
      </c>
      <c r="G923" s="61" t="s">
        <v>36</v>
      </c>
      <c r="H923" s="5" t="s">
        <v>50</v>
      </c>
      <c r="I923" s="5" t="s">
        <v>47</v>
      </c>
      <c r="J923" s="5" t="s">
        <v>495</v>
      </c>
      <c r="K923" s="4">
        <v>20</v>
      </c>
      <c r="L923" s="38">
        <v>388.46</v>
      </c>
      <c r="M923" s="6">
        <v>10</v>
      </c>
      <c r="N923" s="38">
        <v>7769.2</v>
      </c>
      <c r="O923" s="38">
        <v>776.92</v>
      </c>
      <c r="P923" s="54">
        <v>6992.28</v>
      </c>
      <c r="Q923" s="38">
        <v>2550.7399999999998</v>
      </c>
      <c r="R923" s="38">
        <v>4441.54</v>
      </c>
      <c r="S923" s="6">
        <v>63.5</v>
      </c>
      <c r="T923" s="4" t="s">
        <v>27</v>
      </c>
      <c r="U923" s="16">
        <v>2</v>
      </c>
    </row>
    <row r="924" spans="1:21" x14ac:dyDescent="0.3">
      <c r="A924" s="13" t="s">
        <v>1271</v>
      </c>
      <c r="B924" s="45">
        <v>45630</v>
      </c>
      <c r="C924" s="1" t="s">
        <v>1259</v>
      </c>
      <c r="D924" s="41" t="s">
        <v>1376</v>
      </c>
      <c r="E924" s="1">
        <v>2024</v>
      </c>
      <c r="F924" s="1" t="s">
        <v>22</v>
      </c>
      <c r="G924" s="60" t="s">
        <v>122</v>
      </c>
      <c r="H924" s="2" t="s">
        <v>59</v>
      </c>
      <c r="I924" s="2" t="s">
        <v>31</v>
      </c>
      <c r="J924" s="2" t="s">
        <v>288</v>
      </c>
      <c r="K924" s="1">
        <v>19</v>
      </c>
      <c r="L924" s="37">
        <v>19.98</v>
      </c>
      <c r="M924" s="3">
        <v>0</v>
      </c>
      <c r="N924" s="37">
        <v>379.62</v>
      </c>
      <c r="O924" s="37">
        <v>0</v>
      </c>
      <c r="P924" s="53">
        <v>379.62</v>
      </c>
      <c r="Q924" s="37">
        <v>178.33</v>
      </c>
      <c r="R924" s="37">
        <v>201.29</v>
      </c>
      <c r="S924" s="3">
        <v>53</v>
      </c>
      <c r="T924" s="1" t="s">
        <v>33</v>
      </c>
      <c r="U924" s="15">
        <v>2</v>
      </c>
    </row>
    <row r="925" spans="1:21" x14ac:dyDescent="0.3">
      <c r="A925" s="14" t="s">
        <v>1272</v>
      </c>
      <c r="B925" s="46">
        <v>45630</v>
      </c>
      <c r="C925" s="4" t="s">
        <v>1259</v>
      </c>
      <c r="D925" s="42" t="s">
        <v>1376</v>
      </c>
      <c r="E925" s="4">
        <v>2024</v>
      </c>
      <c r="F925" s="4" t="s">
        <v>22</v>
      </c>
      <c r="G925" s="61" t="s">
        <v>46</v>
      </c>
      <c r="H925" s="5" t="s">
        <v>24</v>
      </c>
      <c r="I925" s="5" t="s">
        <v>31</v>
      </c>
      <c r="J925" s="5" t="s">
        <v>505</v>
      </c>
      <c r="K925" s="4">
        <v>17</v>
      </c>
      <c r="L925" s="38">
        <v>149.53</v>
      </c>
      <c r="M925" s="6">
        <v>0</v>
      </c>
      <c r="N925" s="38">
        <v>2542.0100000000002</v>
      </c>
      <c r="O925" s="38">
        <v>0</v>
      </c>
      <c r="P925" s="54">
        <v>2542.0100000000002</v>
      </c>
      <c r="Q925" s="38">
        <v>954.58</v>
      </c>
      <c r="R925" s="38">
        <v>1587.43</v>
      </c>
      <c r="S925" s="6">
        <v>62.4</v>
      </c>
      <c r="T925" s="4" t="s">
        <v>44</v>
      </c>
      <c r="U925" s="16">
        <v>3</v>
      </c>
    </row>
    <row r="926" spans="1:21" x14ac:dyDescent="0.3">
      <c r="A926" s="13" t="s">
        <v>1273</v>
      </c>
      <c r="B926" s="45">
        <v>45631</v>
      </c>
      <c r="C926" s="1" t="s">
        <v>1259</v>
      </c>
      <c r="D926" s="41" t="s">
        <v>1376</v>
      </c>
      <c r="E926" s="1">
        <v>2024</v>
      </c>
      <c r="F926" s="1" t="s">
        <v>22</v>
      </c>
      <c r="G926" s="60" t="s">
        <v>42</v>
      </c>
      <c r="H926" s="2" t="s">
        <v>50</v>
      </c>
      <c r="I926" s="2" t="s">
        <v>47</v>
      </c>
      <c r="J926" s="2" t="s">
        <v>73</v>
      </c>
      <c r="K926" s="1">
        <v>14</v>
      </c>
      <c r="L926" s="37">
        <v>472.63</v>
      </c>
      <c r="M926" s="3">
        <v>10</v>
      </c>
      <c r="N926" s="37">
        <v>6616.82</v>
      </c>
      <c r="O926" s="37">
        <v>661.68</v>
      </c>
      <c r="P926" s="53">
        <v>5955.14</v>
      </c>
      <c r="Q926" s="37">
        <v>2980.83</v>
      </c>
      <c r="R926" s="37">
        <v>2974.31</v>
      </c>
      <c r="S926" s="3">
        <v>49.9</v>
      </c>
      <c r="T926" s="1" t="s">
        <v>33</v>
      </c>
      <c r="U926" s="15">
        <v>4</v>
      </c>
    </row>
    <row r="927" spans="1:21" x14ac:dyDescent="0.3">
      <c r="A927" s="14" t="s">
        <v>1274</v>
      </c>
      <c r="B927" s="46">
        <v>45631</v>
      </c>
      <c r="C927" s="4" t="s">
        <v>1259</v>
      </c>
      <c r="D927" s="42" t="s">
        <v>1376</v>
      </c>
      <c r="E927" s="4">
        <v>2024</v>
      </c>
      <c r="F927" s="4" t="s">
        <v>41</v>
      </c>
      <c r="G927" s="61" t="s">
        <v>122</v>
      </c>
      <c r="H927" s="5" t="s">
        <v>37</v>
      </c>
      <c r="I927" s="5" t="s">
        <v>75</v>
      </c>
      <c r="J927" s="5" t="s">
        <v>269</v>
      </c>
      <c r="K927" s="4">
        <v>4</v>
      </c>
      <c r="L927" s="38">
        <v>103.62</v>
      </c>
      <c r="M927" s="6">
        <v>0</v>
      </c>
      <c r="N927" s="38">
        <v>414.48</v>
      </c>
      <c r="O927" s="38">
        <v>0</v>
      </c>
      <c r="P927" s="54">
        <v>414.48</v>
      </c>
      <c r="Q927" s="38">
        <v>241.29</v>
      </c>
      <c r="R927" s="38">
        <v>173.19</v>
      </c>
      <c r="S927" s="6">
        <v>41.8</v>
      </c>
      <c r="T927" s="4" t="s">
        <v>44</v>
      </c>
      <c r="U927" s="16">
        <v>4</v>
      </c>
    </row>
    <row r="928" spans="1:21" x14ac:dyDescent="0.3">
      <c r="A928" s="13" t="s">
        <v>1275</v>
      </c>
      <c r="B928" s="45">
        <v>45631</v>
      </c>
      <c r="C928" s="1" t="s">
        <v>1259</v>
      </c>
      <c r="D928" s="41" t="s">
        <v>1376</v>
      </c>
      <c r="E928" s="1">
        <v>2024</v>
      </c>
      <c r="F928" s="1" t="s">
        <v>29</v>
      </c>
      <c r="G928" s="60" t="s">
        <v>54</v>
      </c>
      <c r="H928" s="2" t="s">
        <v>37</v>
      </c>
      <c r="I928" s="2" t="s">
        <v>31</v>
      </c>
      <c r="J928" s="2" t="s">
        <v>374</v>
      </c>
      <c r="K928" s="1">
        <v>14</v>
      </c>
      <c r="L928" s="37">
        <v>162.57</v>
      </c>
      <c r="M928" s="3">
        <v>20</v>
      </c>
      <c r="N928" s="37">
        <v>2275.98</v>
      </c>
      <c r="O928" s="37">
        <v>455.2</v>
      </c>
      <c r="P928" s="53">
        <v>1820.78</v>
      </c>
      <c r="Q928" s="37">
        <v>708.49</v>
      </c>
      <c r="R928" s="37">
        <v>1112.29</v>
      </c>
      <c r="S928" s="3">
        <v>61.1</v>
      </c>
      <c r="T928" s="1" t="s">
        <v>33</v>
      </c>
      <c r="U928" s="15">
        <v>5</v>
      </c>
    </row>
    <row r="929" spans="1:21" x14ac:dyDescent="0.3">
      <c r="A929" s="14" t="s">
        <v>1276</v>
      </c>
      <c r="B929" s="46">
        <v>45631</v>
      </c>
      <c r="C929" s="4" t="s">
        <v>1259</v>
      </c>
      <c r="D929" s="42" t="s">
        <v>1376</v>
      </c>
      <c r="E929" s="4">
        <v>2024</v>
      </c>
      <c r="F929" s="4" t="s">
        <v>35</v>
      </c>
      <c r="G929" s="61" t="s">
        <v>58</v>
      </c>
      <c r="H929" s="5" t="s">
        <v>37</v>
      </c>
      <c r="I929" s="5" t="s">
        <v>31</v>
      </c>
      <c r="J929" s="5" t="s">
        <v>1036</v>
      </c>
      <c r="K929" s="4">
        <v>5</v>
      </c>
      <c r="L929" s="38">
        <v>168.79</v>
      </c>
      <c r="M929" s="6">
        <v>10</v>
      </c>
      <c r="N929" s="38">
        <v>843.95</v>
      </c>
      <c r="O929" s="38">
        <v>84.4</v>
      </c>
      <c r="P929" s="54">
        <v>759.55</v>
      </c>
      <c r="Q929" s="38">
        <v>296.57</v>
      </c>
      <c r="R929" s="38">
        <v>462.98</v>
      </c>
      <c r="S929" s="6">
        <v>61</v>
      </c>
      <c r="T929" s="4" t="s">
        <v>44</v>
      </c>
      <c r="U929" s="16">
        <v>5</v>
      </c>
    </row>
    <row r="930" spans="1:21" x14ac:dyDescent="0.3">
      <c r="A930" s="13" t="s">
        <v>1277</v>
      </c>
      <c r="B930" s="45">
        <v>45631</v>
      </c>
      <c r="C930" s="1" t="s">
        <v>1259</v>
      </c>
      <c r="D930" s="41" t="s">
        <v>1376</v>
      </c>
      <c r="E930" s="1">
        <v>2024</v>
      </c>
      <c r="F930" s="1" t="s">
        <v>22</v>
      </c>
      <c r="G930" s="60" t="s">
        <v>91</v>
      </c>
      <c r="H930" s="2" t="s">
        <v>59</v>
      </c>
      <c r="I930" s="2" t="s">
        <v>31</v>
      </c>
      <c r="J930" s="2" t="s">
        <v>324</v>
      </c>
      <c r="K930" s="1">
        <v>5</v>
      </c>
      <c r="L930" s="37">
        <v>27.79</v>
      </c>
      <c r="M930" s="3">
        <v>0</v>
      </c>
      <c r="N930" s="37">
        <v>138.94999999999999</v>
      </c>
      <c r="O930" s="37">
        <v>0</v>
      </c>
      <c r="P930" s="53">
        <v>138.94999999999999</v>
      </c>
      <c r="Q930" s="37">
        <v>71.95</v>
      </c>
      <c r="R930" s="37">
        <v>67</v>
      </c>
      <c r="S930" s="3">
        <v>48.2</v>
      </c>
      <c r="T930" s="1" t="s">
        <v>44</v>
      </c>
      <c r="U930" s="15">
        <v>2</v>
      </c>
    </row>
    <row r="931" spans="1:21" x14ac:dyDescent="0.3">
      <c r="A931" s="14" t="s">
        <v>1278</v>
      </c>
      <c r="B931" s="46">
        <v>45632</v>
      </c>
      <c r="C931" s="4" t="s">
        <v>1259</v>
      </c>
      <c r="D931" s="42" t="s">
        <v>1376</v>
      </c>
      <c r="E931" s="4">
        <v>2024</v>
      </c>
      <c r="F931" s="4" t="s">
        <v>35</v>
      </c>
      <c r="G931" s="61" t="s">
        <v>122</v>
      </c>
      <c r="H931" s="5" t="s">
        <v>37</v>
      </c>
      <c r="I931" s="5" t="s">
        <v>31</v>
      </c>
      <c r="J931" s="5" t="s">
        <v>135</v>
      </c>
      <c r="K931" s="4">
        <v>19</v>
      </c>
      <c r="L931" s="38">
        <v>171.84</v>
      </c>
      <c r="M931" s="6">
        <v>5</v>
      </c>
      <c r="N931" s="38">
        <v>3264.96</v>
      </c>
      <c r="O931" s="38">
        <v>163.25</v>
      </c>
      <c r="P931" s="54">
        <v>3101.71</v>
      </c>
      <c r="Q931" s="38">
        <v>1539.56</v>
      </c>
      <c r="R931" s="38">
        <v>1562.15</v>
      </c>
      <c r="S931" s="6">
        <v>50.4</v>
      </c>
      <c r="T931" s="4" t="s">
        <v>33</v>
      </c>
      <c r="U931" s="16">
        <v>4</v>
      </c>
    </row>
    <row r="932" spans="1:21" x14ac:dyDescent="0.3">
      <c r="A932" s="13" t="s">
        <v>1279</v>
      </c>
      <c r="B932" s="45">
        <v>45632</v>
      </c>
      <c r="C932" s="1" t="s">
        <v>1259</v>
      </c>
      <c r="D932" s="41" t="s">
        <v>1376</v>
      </c>
      <c r="E932" s="1">
        <v>2024</v>
      </c>
      <c r="F932" s="1" t="s">
        <v>53</v>
      </c>
      <c r="G932" s="60" t="s">
        <v>23</v>
      </c>
      <c r="H932" s="2" t="s">
        <v>59</v>
      </c>
      <c r="I932" s="2" t="s">
        <v>55</v>
      </c>
      <c r="J932" s="2" t="s">
        <v>839</v>
      </c>
      <c r="K932" s="1">
        <v>19</v>
      </c>
      <c r="L932" s="37">
        <v>964.3</v>
      </c>
      <c r="M932" s="3">
        <v>10</v>
      </c>
      <c r="N932" s="37">
        <v>18321.7</v>
      </c>
      <c r="O932" s="37">
        <v>1832.17</v>
      </c>
      <c r="P932" s="53">
        <v>16489.53</v>
      </c>
      <c r="Q932" s="37">
        <v>8997.92</v>
      </c>
      <c r="R932" s="37">
        <v>7491.61</v>
      </c>
      <c r="S932" s="3">
        <v>45.4</v>
      </c>
      <c r="T932" s="1" t="s">
        <v>44</v>
      </c>
      <c r="U932" s="15">
        <v>2</v>
      </c>
    </row>
    <row r="933" spans="1:21" x14ac:dyDescent="0.3">
      <c r="A933" s="14" t="s">
        <v>1280</v>
      </c>
      <c r="B933" s="46">
        <v>45633</v>
      </c>
      <c r="C933" s="4" t="s">
        <v>1259</v>
      </c>
      <c r="D933" s="42" t="s">
        <v>1376</v>
      </c>
      <c r="E933" s="4">
        <v>2024</v>
      </c>
      <c r="F933" s="4" t="s">
        <v>22</v>
      </c>
      <c r="G933" s="61" t="s">
        <v>36</v>
      </c>
      <c r="H933" s="5" t="s">
        <v>37</v>
      </c>
      <c r="I933" s="5" t="s">
        <v>47</v>
      </c>
      <c r="J933" s="5" t="s">
        <v>822</v>
      </c>
      <c r="K933" s="4">
        <v>19</v>
      </c>
      <c r="L933" s="38">
        <v>343.03</v>
      </c>
      <c r="M933" s="6">
        <v>10</v>
      </c>
      <c r="N933" s="38">
        <v>6517.57</v>
      </c>
      <c r="O933" s="38">
        <v>651.76</v>
      </c>
      <c r="P933" s="54">
        <v>5865.81</v>
      </c>
      <c r="Q933" s="38">
        <v>2398.12</v>
      </c>
      <c r="R933" s="38">
        <v>3467.69</v>
      </c>
      <c r="S933" s="6">
        <v>59.1</v>
      </c>
      <c r="T933" s="4" t="s">
        <v>33</v>
      </c>
      <c r="U933" s="16">
        <v>1</v>
      </c>
    </row>
    <row r="934" spans="1:21" x14ac:dyDescent="0.3">
      <c r="A934" s="13" t="s">
        <v>1281</v>
      </c>
      <c r="B934" s="45">
        <v>45633</v>
      </c>
      <c r="C934" s="1" t="s">
        <v>1259</v>
      </c>
      <c r="D934" s="41" t="s">
        <v>1376</v>
      </c>
      <c r="E934" s="1">
        <v>2024</v>
      </c>
      <c r="F934" s="1" t="s">
        <v>22</v>
      </c>
      <c r="G934" s="60" t="s">
        <v>46</v>
      </c>
      <c r="H934" s="2" t="s">
        <v>24</v>
      </c>
      <c r="I934" s="2" t="s">
        <v>55</v>
      </c>
      <c r="J934" s="2" t="s">
        <v>1282</v>
      </c>
      <c r="K934" s="1">
        <v>4</v>
      </c>
      <c r="L934" s="37">
        <v>210.06</v>
      </c>
      <c r="M934" s="3">
        <v>5</v>
      </c>
      <c r="N934" s="37">
        <v>840.24</v>
      </c>
      <c r="O934" s="37">
        <v>42.01</v>
      </c>
      <c r="P934" s="53">
        <v>798.23</v>
      </c>
      <c r="Q934" s="37">
        <v>426.89</v>
      </c>
      <c r="R934" s="37">
        <v>371.34</v>
      </c>
      <c r="S934" s="3">
        <v>46.5</v>
      </c>
      <c r="T934" s="1" t="s">
        <v>44</v>
      </c>
      <c r="U934" s="15">
        <v>3</v>
      </c>
    </row>
    <row r="935" spans="1:21" x14ac:dyDescent="0.3">
      <c r="A935" s="14" t="s">
        <v>1283</v>
      </c>
      <c r="B935" s="46">
        <v>45633</v>
      </c>
      <c r="C935" s="4" t="s">
        <v>1259</v>
      </c>
      <c r="D935" s="42" t="s">
        <v>1376</v>
      </c>
      <c r="E935" s="4">
        <v>2024</v>
      </c>
      <c r="F935" s="4" t="s">
        <v>35</v>
      </c>
      <c r="G935" s="61" t="s">
        <v>30</v>
      </c>
      <c r="H935" s="5" t="s">
        <v>37</v>
      </c>
      <c r="I935" s="5" t="s">
        <v>25</v>
      </c>
      <c r="J935" s="5" t="s">
        <v>296</v>
      </c>
      <c r="K935" s="4">
        <v>4</v>
      </c>
      <c r="L935" s="38">
        <v>52.4</v>
      </c>
      <c r="M935" s="6">
        <v>0</v>
      </c>
      <c r="N935" s="38">
        <v>209.6</v>
      </c>
      <c r="O935" s="38">
        <v>0</v>
      </c>
      <c r="P935" s="54">
        <v>209.6</v>
      </c>
      <c r="Q935" s="38">
        <v>119.62</v>
      </c>
      <c r="R935" s="38">
        <v>89.98</v>
      </c>
      <c r="S935" s="6">
        <v>42.9</v>
      </c>
      <c r="T935" s="4" t="s">
        <v>33</v>
      </c>
      <c r="U935" s="16">
        <v>4</v>
      </c>
    </row>
    <row r="936" spans="1:21" x14ac:dyDescent="0.3">
      <c r="A936" s="13" t="s">
        <v>1284</v>
      </c>
      <c r="B936" s="45">
        <v>45633</v>
      </c>
      <c r="C936" s="1" t="s">
        <v>1259</v>
      </c>
      <c r="D936" s="41" t="s">
        <v>1376</v>
      </c>
      <c r="E936" s="1">
        <v>2024</v>
      </c>
      <c r="F936" s="1" t="s">
        <v>29</v>
      </c>
      <c r="G936" s="60" t="s">
        <v>42</v>
      </c>
      <c r="H936" s="2" t="s">
        <v>24</v>
      </c>
      <c r="I936" s="2" t="s">
        <v>25</v>
      </c>
      <c r="J936" s="2" t="s">
        <v>702</v>
      </c>
      <c r="K936" s="1">
        <v>19</v>
      </c>
      <c r="L936" s="37">
        <v>45.38</v>
      </c>
      <c r="M936" s="3">
        <v>0</v>
      </c>
      <c r="N936" s="37">
        <v>862.22</v>
      </c>
      <c r="O936" s="37">
        <v>0</v>
      </c>
      <c r="P936" s="53">
        <v>862.22</v>
      </c>
      <c r="Q936" s="37">
        <v>365.47</v>
      </c>
      <c r="R936" s="37">
        <v>496.75</v>
      </c>
      <c r="S936" s="3">
        <v>57.6</v>
      </c>
      <c r="T936" s="1" t="s">
        <v>44</v>
      </c>
      <c r="U936" s="15">
        <v>2</v>
      </c>
    </row>
    <row r="937" spans="1:21" x14ac:dyDescent="0.3">
      <c r="A937" s="14" t="s">
        <v>1285</v>
      </c>
      <c r="B937" s="46">
        <v>45634</v>
      </c>
      <c r="C937" s="4" t="s">
        <v>1259</v>
      </c>
      <c r="D937" s="42" t="s">
        <v>1376</v>
      </c>
      <c r="E937" s="4">
        <v>2024</v>
      </c>
      <c r="F937" s="4" t="s">
        <v>53</v>
      </c>
      <c r="G937" s="61" t="s">
        <v>36</v>
      </c>
      <c r="H937" s="5" t="s">
        <v>37</v>
      </c>
      <c r="I937" s="5" t="s">
        <v>38</v>
      </c>
      <c r="J937" s="5" t="s">
        <v>450</v>
      </c>
      <c r="K937" s="4">
        <v>4</v>
      </c>
      <c r="L937" s="38">
        <v>16.559999999999999</v>
      </c>
      <c r="M937" s="6">
        <v>0</v>
      </c>
      <c r="N937" s="38">
        <v>66.239999999999995</v>
      </c>
      <c r="O937" s="38">
        <v>0</v>
      </c>
      <c r="P937" s="54">
        <v>66.239999999999995</v>
      </c>
      <c r="Q937" s="38">
        <v>24.61</v>
      </c>
      <c r="R937" s="38">
        <v>41.63</v>
      </c>
      <c r="S937" s="6">
        <v>62.8</v>
      </c>
      <c r="T937" s="4" t="s">
        <v>44</v>
      </c>
      <c r="U937" s="16">
        <v>3</v>
      </c>
    </row>
    <row r="938" spans="1:21" x14ac:dyDescent="0.3">
      <c r="A938" s="13" t="s">
        <v>1286</v>
      </c>
      <c r="B938" s="45">
        <v>45634</v>
      </c>
      <c r="C938" s="1" t="s">
        <v>1259</v>
      </c>
      <c r="D938" s="41" t="s">
        <v>1376</v>
      </c>
      <c r="E938" s="1">
        <v>2024</v>
      </c>
      <c r="F938" s="1" t="s">
        <v>29</v>
      </c>
      <c r="G938" s="60" t="s">
        <v>91</v>
      </c>
      <c r="H938" s="2" t="s">
        <v>59</v>
      </c>
      <c r="I938" s="2" t="s">
        <v>25</v>
      </c>
      <c r="J938" s="2" t="s">
        <v>125</v>
      </c>
      <c r="K938" s="1">
        <v>10</v>
      </c>
      <c r="L938" s="37">
        <v>69.239999999999995</v>
      </c>
      <c r="M938" s="3">
        <v>0</v>
      </c>
      <c r="N938" s="37">
        <v>692.4</v>
      </c>
      <c r="O938" s="37">
        <v>0</v>
      </c>
      <c r="P938" s="53">
        <v>692.4</v>
      </c>
      <c r="Q938" s="37">
        <v>403.69</v>
      </c>
      <c r="R938" s="37">
        <v>288.70999999999998</v>
      </c>
      <c r="S938" s="3">
        <v>41.7</v>
      </c>
      <c r="T938" s="1" t="s">
        <v>44</v>
      </c>
      <c r="U938" s="15">
        <v>5</v>
      </c>
    </row>
    <row r="939" spans="1:21" x14ac:dyDescent="0.3">
      <c r="A939" s="14" t="s">
        <v>1287</v>
      </c>
      <c r="B939" s="46">
        <v>45634</v>
      </c>
      <c r="C939" s="4" t="s">
        <v>1259</v>
      </c>
      <c r="D939" s="42" t="s">
        <v>1376</v>
      </c>
      <c r="E939" s="4">
        <v>2024</v>
      </c>
      <c r="F939" s="4" t="s">
        <v>35</v>
      </c>
      <c r="G939" s="61" t="s">
        <v>91</v>
      </c>
      <c r="H939" s="5" t="s">
        <v>24</v>
      </c>
      <c r="I939" s="5" t="s">
        <v>55</v>
      </c>
      <c r="J939" s="5" t="s">
        <v>457</v>
      </c>
      <c r="K939" s="4">
        <v>18</v>
      </c>
      <c r="L939" s="38">
        <v>483.54</v>
      </c>
      <c r="M939" s="6">
        <v>15</v>
      </c>
      <c r="N939" s="38">
        <v>8703.7199999999993</v>
      </c>
      <c r="O939" s="38">
        <v>1305.56</v>
      </c>
      <c r="P939" s="54">
        <v>7398.16</v>
      </c>
      <c r="Q939" s="38">
        <v>3307.15</v>
      </c>
      <c r="R939" s="38">
        <v>4091.01</v>
      </c>
      <c r="S939" s="6">
        <v>55.3</v>
      </c>
      <c r="T939" s="4" t="s">
        <v>27</v>
      </c>
      <c r="U939" s="16">
        <v>1</v>
      </c>
    </row>
    <row r="940" spans="1:21" x14ac:dyDescent="0.3">
      <c r="A940" s="13" t="s">
        <v>1288</v>
      </c>
      <c r="B940" s="45">
        <v>45634</v>
      </c>
      <c r="C940" s="1" t="s">
        <v>1259</v>
      </c>
      <c r="D940" s="41" t="s">
        <v>1376</v>
      </c>
      <c r="E940" s="1">
        <v>2024</v>
      </c>
      <c r="F940" s="1" t="s">
        <v>41</v>
      </c>
      <c r="G940" s="60" t="s">
        <v>66</v>
      </c>
      <c r="H940" s="2" t="s">
        <v>50</v>
      </c>
      <c r="I940" s="2" t="s">
        <v>38</v>
      </c>
      <c r="J940" s="2" t="s">
        <v>175</v>
      </c>
      <c r="K940" s="1">
        <v>12</v>
      </c>
      <c r="L940" s="37">
        <v>38.68</v>
      </c>
      <c r="M940" s="3">
        <v>0</v>
      </c>
      <c r="N940" s="37">
        <v>464.16</v>
      </c>
      <c r="O940" s="37">
        <v>0</v>
      </c>
      <c r="P940" s="53">
        <v>464.16</v>
      </c>
      <c r="Q940" s="37">
        <v>291.14</v>
      </c>
      <c r="R940" s="37">
        <v>173.02</v>
      </c>
      <c r="S940" s="3">
        <v>37.299999999999997</v>
      </c>
      <c r="T940" s="1" t="s">
        <v>33</v>
      </c>
      <c r="U940" s="15">
        <v>2</v>
      </c>
    </row>
    <row r="941" spans="1:21" x14ac:dyDescent="0.3">
      <c r="A941" s="14" t="s">
        <v>1289</v>
      </c>
      <c r="B941" s="46">
        <v>45634</v>
      </c>
      <c r="C941" s="4" t="s">
        <v>1259</v>
      </c>
      <c r="D941" s="42" t="s">
        <v>1376</v>
      </c>
      <c r="E941" s="4">
        <v>2024</v>
      </c>
      <c r="F941" s="4" t="s">
        <v>22</v>
      </c>
      <c r="G941" s="61" t="s">
        <v>91</v>
      </c>
      <c r="H941" s="5" t="s">
        <v>59</v>
      </c>
      <c r="I941" s="5" t="s">
        <v>47</v>
      </c>
      <c r="J941" s="5" t="s">
        <v>340</v>
      </c>
      <c r="K941" s="4">
        <v>14</v>
      </c>
      <c r="L941" s="38">
        <v>307.01</v>
      </c>
      <c r="M941" s="6">
        <v>0</v>
      </c>
      <c r="N941" s="38">
        <v>4298.1400000000003</v>
      </c>
      <c r="O941" s="38">
        <v>0</v>
      </c>
      <c r="P941" s="54">
        <v>4298.1400000000003</v>
      </c>
      <c r="Q941" s="38">
        <v>1619.88</v>
      </c>
      <c r="R941" s="38">
        <v>2678.26</v>
      </c>
      <c r="S941" s="6">
        <v>62.3</v>
      </c>
      <c r="T941" s="4" t="s">
        <v>44</v>
      </c>
      <c r="U941" s="16">
        <v>4</v>
      </c>
    </row>
    <row r="942" spans="1:21" x14ac:dyDescent="0.3">
      <c r="A942" s="13" t="s">
        <v>1290</v>
      </c>
      <c r="B942" s="45">
        <v>45634</v>
      </c>
      <c r="C942" s="1" t="s">
        <v>1259</v>
      </c>
      <c r="D942" s="41" t="s">
        <v>1376</v>
      </c>
      <c r="E942" s="1">
        <v>2024</v>
      </c>
      <c r="F942" s="1" t="s">
        <v>41</v>
      </c>
      <c r="G942" s="60" t="s">
        <v>58</v>
      </c>
      <c r="H942" s="2" t="s">
        <v>50</v>
      </c>
      <c r="I942" s="2" t="s">
        <v>25</v>
      </c>
      <c r="J942" s="2" t="s">
        <v>607</v>
      </c>
      <c r="K942" s="1">
        <v>9</v>
      </c>
      <c r="L942" s="37">
        <v>91.51</v>
      </c>
      <c r="M942" s="3">
        <v>0</v>
      </c>
      <c r="N942" s="37">
        <v>823.59</v>
      </c>
      <c r="O942" s="37">
        <v>0</v>
      </c>
      <c r="P942" s="53">
        <v>823.59</v>
      </c>
      <c r="Q942" s="37">
        <v>454.23</v>
      </c>
      <c r="R942" s="37">
        <v>369.36</v>
      </c>
      <c r="S942" s="3">
        <v>44.8</v>
      </c>
      <c r="T942" s="1" t="s">
        <v>44</v>
      </c>
      <c r="U942" s="15">
        <v>1</v>
      </c>
    </row>
    <row r="943" spans="1:21" x14ac:dyDescent="0.3">
      <c r="A943" s="14" t="s">
        <v>1291</v>
      </c>
      <c r="B943" s="46">
        <v>45635</v>
      </c>
      <c r="C943" s="4" t="s">
        <v>1259</v>
      </c>
      <c r="D943" s="42" t="s">
        <v>1376</v>
      </c>
      <c r="E943" s="4">
        <v>2024</v>
      </c>
      <c r="F943" s="4" t="s">
        <v>35</v>
      </c>
      <c r="G943" s="61" t="s">
        <v>23</v>
      </c>
      <c r="H943" s="5" t="s">
        <v>59</v>
      </c>
      <c r="I943" s="5" t="s">
        <v>31</v>
      </c>
      <c r="J943" s="5" t="s">
        <v>625</v>
      </c>
      <c r="K943" s="4">
        <v>13</v>
      </c>
      <c r="L943" s="38">
        <v>113.86</v>
      </c>
      <c r="M943" s="6">
        <v>0</v>
      </c>
      <c r="N943" s="38">
        <v>1480.18</v>
      </c>
      <c r="O943" s="38">
        <v>0</v>
      </c>
      <c r="P943" s="54">
        <v>1480.18</v>
      </c>
      <c r="Q943" s="38">
        <v>706.14</v>
      </c>
      <c r="R943" s="38">
        <v>774.04</v>
      </c>
      <c r="S943" s="6">
        <v>52.3</v>
      </c>
      <c r="T943" s="4" t="s">
        <v>44</v>
      </c>
      <c r="U943" s="16">
        <v>1</v>
      </c>
    </row>
    <row r="944" spans="1:21" x14ac:dyDescent="0.3">
      <c r="A944" s="13" t="s">
        <v>1292</v>
      </c>
      <c r="B944" s="45">
        <v>45635</v>
      </c>
      <c r="C944" s="1" t="s">
        <v>1259</v>
      </c>
      <c r="D944" s="41" t="s">
        <v>1376</v>
      </c>
      <c r="E944" s="1">
        <v>2024</v>
      </c>
      <c r="F944" s="1" t="s">
        <v>35</v>
      </c>
      <c r="G944" s="60" t="s">
        <v>36</v>
      </c>
      <c r="H944" s="2" t="s">
        <v>24</v>
      </c>
      <c r="I944" s="2" t="s">
        <v>25</v>
      </c>
      <c r="J944" s="2" t="s">
        <v>631</v>
      </c>
      <c r="K944" s="1">
        <v>16</v>
      </c>
      <c r="L944" s="37">
        <v>139.29</v>
      </c>
      <c r="M944" s="3">
        <v>0</v>
      </c>
      <c r="N944" s="37">
        <v>2228.64</v>
      </c>
      <c r="O944" s="37">
        <v>0</v>
      </c>
      <c r="P944" s="53">
        <v>2228.64</v>
      </c>
      <c r="Q944" s="37">
        <v>1012.9</v>
      </c>
      <c r="R944" s="37">
        <v>1215.74</v>
      </c>
      <c r="S944" s="3">
        <v>54.6</v>
      </c>
      <c r="T944" s="1" t="s">
        <v>44</v>
      </c>
      <c r="U944" s="15">
        <v>2</v>
      </c>
    </row>
    <row r="945" spans="1:21" x14ac:dyDescent="0.3">
      <c r="A945" s="14" t="s">
        <v>1293</v>
      </c>
      <c r="B945" s="46">
        <v>45635</v>
      </c>
      <c r="C945" s="4" t="s">
        <v>1259</v>
      </c>
      <c r="D945" s="42" t="s">
        <v>1376</v>
      </c>
      <c r="E945" s="4">
        <v>2024</v>
      </c>
      <c r="F945" s="4" t="s">
        <v>35</v>
      </c>
      <c r="G945" s="61" t="s">
        <v>58</v>
      </c>
      <c r="H945" s="5" t="s">
        <v>50</v>
      </c>
      <c r="I945" s="5" t="s">
        <v>75</v>
      </c>
      <c r="J945" s="5" t="s">
        <v>149</v>
      </c>
      <c r="K945" s="4">
        <v>19</v>
      </c>
      <c r="L945" s="38">
        <v>351.11</v>
      </c>
      <c r="M945" s="6">
        <v>20</v>
      </c>
      <c r="N945" s="38">
        <v>6671.09</v>
      </c>
      <c r="O945" s="38">
        <v>1334.22</v>
      </c>
      <c r="P945" s="54">
        <v>5336.87</v>
      </c>
      <c r="Q945" s="38">
        <v>2381.4299999999998</v>
      </c>
      <c r="R945" s="38">
        <v>2955.44</v>
      </c>
      <c r="S945" s="6">
        <v>55.4</v>
      </c>
      <c r="T945" s="4" t="s">
        <v>44</v>
      </c>
      <c r="U945" s="16">
        <v>1</v>
      </c>
    </row>
    <row r="946" spans="1:21" x14ac:dyDescent="0.3">
      <c r="A946" s="13" t="s">
        <v>1294</v>
      </c>
      <c r="B946" s="45">
        <v>45635</v>
      </c>
      <c r="C946" s="1" t="s">
        <v>1259</v>
      </c>
      <c r="D946" s="41" t="s">
        <v>1376</v>
      </c>
      <c r="E946" s="1">
        <v>2024</v>
      </c>
      <c r="F946" s="1" t="s">
        <v>35</v>
      </c>
      <c r="G946" s="60" t="s">
        <v>30</v>
      </c>
      <c r="H946" s="2" t="s">
        <v>50</v>
      </c>
      <c r="I946" s="2" t="s">
        <v>31</v>
      </c>
      <c r="J946" s="2" t="s">
        <v>145</v>
      </c>
      <c r="K946" s="1">
        <v>20</v>
      </c>
      <c r="L946" s="37">
        <v>92.39</v>
      </c>
      <c r="M946" s="3">
        <v>10</v>
      </c>
      <c r="N946" s="37">
        <v>1847.8</v>
      </c>
      <c r="O946" s="37">
        <v>184.78</v>
      </c>
      <c r="P946" s="53">
        <v>1663.02</v>
      </c>
      <c r="Q946" s="37">
        <v>878.35</v>
      </c>
      <c r="R946" s="37">
        <v>784.67</v>
      </c>
      <c r="S946" s="3">
        <v>47.2</v>
      </c>
      <c r="T946" s="1" t="s">
        <v>44</v>
      </c>
      <c r="U946" s="15">
        <v>4</v>
      </c>
    </row>
    <row r="947" spans="1:21" x14ac:dyDescent="0.3">
      <c r="A947" s="14" t="s">
        <v>1295</v>
      </c>
      <c r="B947" s="46">
        <v>45636</v>
      </c>
      <c r="C947" s="4" t="s">
        <v>1259</v>
      </c>
      <c r="D947" s="42" t="s">
        <v>1376</v>
      </c>
      <c r="E947" s="4">
        <v>2024</v>
      </c>
      <c r="F947" s="4" t="s">
        <v>22</v>
      </c>
      <c r="G947" s="61" t="s">
        <v>58</v>
      </c>
      <c r="H947" s="5" t="s">
        <v>24</v>
      </c>
      <c r="I947" s="5" t="s">
        <v>31</v>
      </c>
      <c r="J947" s="5" t="s">
        <v>477</v>
      </c>
      <c r="K947" s="4">
        <v>16</v>
      </c>
      <c r="L947" s="38">
        <v>21.8</v>
      </c>
      <c r="M947" s="6">
        <v>10</v>
      </c>
      <c r="N947" s="38">
        <v>348.8</v>
      </c>
      <c r="O947" s="38">
        <v>34.880000000000003</v>
      </c>
      <c r="P947" s="54">
        <v>313.92</v>
      </c>
      <c r="Q947" s="38">
        <v>112.15</v>
      </c>
      <c r="R947" s="38">
        <v>201.77</v>
      </c>
      <c r="S947" s="6">
        <v>64.3</v>
      </c>
      <c r="T947" s="4" t="s">
        <v>33</v>
      </c>
      <c r="U947" s="16">
        <v>2</v>
      </c>
    </row>
    <row r="948" spans="1:21" x14ac:dyDescent="0.3">
      <c r="A948" s="13" t="s">
        <v>1296</v>
      </c>
      <c r="B948" s="45">
        <v>45636</v>
      </c>
      <c r="C948" s="1" t="s">
        <v>1259</v>
      </c>
      <c r="D948" s="41" t="s">
        <v>1376</v>
      </c>
      <c r="E948" s="1">
        <v>2024</v>
      </c>
      <c r="F948" s="1" t="s">
        <v>41</v>
      </c>
      <c r="G948" s="60" t="s">
        <v>30</v>
      </c>
      <c r="H948" s="2" t="s">
        <v>59</v>
      </c>
      <c r="I948" s="2" t="s">
        <v>31</v>
      </c>
      <c r="J948" s="2" t="s">
        <v>1117</v>
      </c>
      <c r="K948" s="1">
        <v>2</v>
      </c>
      <c r="L948" s="37">
        <v>194.16</v>
      </c>
      <c r="M948" s="3">
        <v>5</v>
      </c>
      <c r="N948" s="37">
        <v>388.32</v>
      </c>
      <c r="O948" s="37">
        <v>19.420000000000002</v>
      </c>
      <c r="P948" s="53">
        <v>368.9</v>
      </c>
      <c r="Q948" s="37">
        <v>162.85</v>
      </c>
      <c r="R948" s="37">
        <v>206.05</v>
      </c>
      <c r="S948" s="3">
        <v>55.9</v>
      </c>
      <c r="T948" s="1" t="s">
        <v>27</v>
      </c>
      <c r="U948" s="15">
        <v>3</v>
      </c>
    </row>
    <row r="949" spans="1:21" x14ac:dyDescent="0.3">
      <c r="A949" s="14" t="s">
        <v>1297</v>
      </c>
      <c r="B949" s="46">
        <v>45637</v>
      </c>
      <c r="C949" s="4" t="s">
        <v>1259</v>
      </c>
      <c r="D949" s="42" t="s">
        <v>1376</v>
      </c>
      <c r="E949" s="4">
        <v>2024</v>
      </c>
      <c r="F949" s="4" t="s">
        <v>53</v>
      </c>
      <c r="G949" s="61" t="s">
        <v>58</v>
      </c>
      <c r="H949" s="5" t="s">
        <v>50</v>
      </c>
      <c r="I949" s="5" t="s">
        <v>38</v>
      </c>
      <c r="J949" s="5" t="s">
        <v>431</v>
      </c>
      <c r="K949" s="4">
        <v>6</v>
      </c>
      <c r="L949" s="38">
        <v>57.62</v>
      </c>
      <c r="M949" s="6">
        <v>10</v>
      </c>
      <c r="N949" s="38">
        <v>345.72</v>
      </c>
      <c r="O949" s="38">
        <v>34.57</v>
      </c>
      <c r="P949" s="54">
        <v>311.14999999999998</v>
      </c>
      <c r="Q949" s="38">
        <v>201.09</v>
      </c>
      <c r="R949" s="38">
        <v>110.06</v>
      </c>
      <c r="S949" s="6">
        <v>35.4</v>
      </c>
      <c r="T949" s="4" t="s">
        <v>44</v>
      </c>
      <c r="U949" s="16">
        <v>1</v>
      </c>
    </row>
    <row r="950" spans="1:21" x14ac:dyDescent="0.3">
      <c r="A950" s="13" t="s">
        <v>1298</v>
      </c>
      <c r="B950" s="45">
        <v>45637</v>
      </c>
      <c r="C950" s="1" t="s">
        <v>1259</v>
      </c>
      <c r="D950" s="41" t="s">
        <v>1376</v>
      </c>
      <c r="E950" s="1">
        <v>2024</v>
      </c>
      <c r="F950" s="1" t="s">
        <v>22</v>
      </c>
      <c r="G950" s="60" t="s">
        <v>122</v>
      </c>
      <c r="H950" s="2" t="s">
        <v>50</v>
      </c>
      <c r="I950" s="2" t="s">
        <v>25</v>
      </c>
      <c r="J950" s="2" t="s">
        <v>243</v>
      </c>
      <c r="K950" s="1">
        <v>9</v>
      </c>
      <c r="L950" s="37">
        <v>123.72</v>
      </c>
      <c r="M950" s="3">
        <v>20</v>
      </c>
      <c r="N950" s="37">
        <v>1113.48</v>
      </c>
      <c r="O950" s="37">
        <v>222.7</v>
      </c>
      <c r="P950" s="53">
        <v>890.78</v>
      </c>
      <c r="Q950" s="37">
        <v>476.45</v>
      </c>
      <c r="R950" s="37">
        <v>414.33</v>
      </c>
      <c r="S950" s="3">
        <v>46.5</v>
      </c>
      <c r="T950" s="1" t="s">
        <v>44</v>
      </c>
      <c r="U950" s="15">
        <v>4</v>
      </c>
    </row>
    <row r="951" spans="1:21" x14ac:dyDescent="0.3">
      <c r="A951" s="14" t="s">
        <v>1299</v>
      </c>
      <c r="B951" s="46">
        <v>45638</v>
      </c>
      <c r="C951" s="4" t="s">
        <v>1259</v>
      </c>
      <c r="D951" s="42" t="s">
        <v>1376</v>
      </c>
      <c r="E951" s="4">
        <v>2024</v>
      </c>
      <c r="F951" s="4" t="s">
        <v>35</v>
      </c>
      <c r="G951" s="61" t="s">
        <v>91</v>
      </c>
      <c r="H951" s="5" t="s">
        <v>24</v>
      </c>
      <c r="I951" s="5" t="s">
        <v>31</v>
      </c>
      <c r="J951" s="5" t="s">
        <v>505</v>
      </c>
      <c r="K951" s="4">
        <v>13</v>
      </c>
      <c r="L951" s="38">
        <v>124.86</v>
      </c>
      <c r="M951" s="6">
        <v>20</v>
      </c>
      <c r="N951" s="38">
        <v>1623.18</v>
      </c>
      <c r="O951" s="38">
        <v>324.64</v>
      </c>
      <c r="P951" s="54">
        <v>1298.54</v>
      </c>
      <c r="Q951" s="38">
        <v>840.22</v>
      </c>
      <c r="R951" s="38">
        <v>458.32</v>
      </c>
      <c r="S951" s="6">
        <v>35.299999999999997</v>
      </c>
      <c r="T951" s="4" t="s">
        <v>44</v>
      </c>
      <c r="U951" s="16">
        <v>5</v>
      </c>
    </row>
    <row r="952" spans="1:21" x14ac:dyDescent="0.3">
      <c r="A952" s="13" t="s">
        <v>1300</v>
      </c>
      <c r="B952" s="45">
        <v>45638</v>
      </c>
      <c r="C952" s="1" t="s">
        <v>1259</v>
      </c>
      <c r="D952" s="41" t="s">
        <v>1376</v>
      </c>
      <c r="E952" s="1">
        <v>2024</v>
      </c>
      <c r="F952" s="1" t="s">
        <v>35</v>
      </c>
      <c r="G952" s="60" t="s">
        <v>30</v>
      </c>
      <c r="H952" s="2" t="s">
        <v>59</v>
      </c>
      <c r="I952" s="2" t="s">
        <v>38</v>
      </c>
      <c r="J952" s="2" t="s">
        <v>241</v>
      </c>
      <c r="K952" s="1">
        <v>5</v>
      </c>
      <c r="L952" s="37">
        <v>73.58</v>
      </c>
      <c r="M952" s="3">
        <v>15</v>
      </c>
      <c r="N952" s="37">
        <v>367.9</v>
      </c>
      <c r="O952" s="37">
        <v>55.18</v>
      </c>
      <c r="P952" s="53">
        <v>312.72000000000003</v>
      </c>
      <c r="Q952" s="37">
        <v>150.94</v>
      </c>
      <c r="R952" s="37">
        <v>161.78</v>
      </c>
      <c r="S952" s="3">
        <v>51.7</v>
      </c>
      <c r="T952" s="1" t="s">
        <v>44</v>
      </c>
      <c r="U952" s="15">
        <v>4</v>
      </c>
    </row>
    <row r="953" spans="1:21" x14ac:dyDescent="0.3">
      <c r="A953" s="14" t="s">
        <v>1301</v>
      </c>
      <c r="B953" s="46">
        <v>45638</v>
      </c>
      <c r="C953" s="4" t="s">
        <v>1259</v>
      </c>
      <c r="D953" s="42" t="s">
        <v>1376</v>
      </c>
      <c r="E953" s="4">
        <v>2024</v>
      </c>
      <c r="F953" s="4" t="s">
        <v>22</v>
      </c>
      <c r="G953" s="61" t="s">
        <v>58</v>
      </c>
      <c r="H953" s="5" t="s">
        <v>37</v>
      </c>
      <c r="I953" s="5" t="s">
        <v>75</v>
      </c>
      <c r="J953" s="5" t="s">
        <v>221</v>
      </c>
      <c r="K953" s="4">
        <v>20</v>
      </c>
      <c r="L953" s="38">
        <v>66.010000000000005</v>
      </c>
      <c r="M953" s="6">
        <v>0</v>
      </c>
      <c r="N953" s="38">
        <v>1320.2</v>
      </c>
      <c r="O953" s="38">
        <v>0</v>
      </c>
      <c r="P953" s="54">
        <v>1320.2</v>
      </c>
      <c r="Q953" s="38">
        <v>519.82000000000005</v>
      </c>
      <c r="R953" s="38">
        <v>800.38</v>
      </c>
      <c r="S953" s="6">
        <v>60.6</v>
      </c>
      <c r="T953" s="4" t="s">
        <v>33</v>
      </c>
      <c r="U953" s="16">
        <v>3</v>
      </c>
    </row>
    <row r="954" spans="1:21" x14ac:dyDescent="0.3">
      <c r="A954" s="13" t="s">
        <v>1302</v>
      </c>
      <c r="B954" s="45">
        <v>45639</v>
      </c>
      <c r="C954" s="1" t="s">
        <v>1259</v>
      </c>
      <c r="D954" s="41" t="s">
        <v>1376</v>
      </c>
      <c r="E954" s="1">
        <v>2024</v>
      </c>
      <c r="F954" s="1" t="s">
        <v>41</v>
      </c>
      <c r="G954" s="60" t="s">
        <v>42</v>
      </c>
      <c r="H954" s="2" t="s">
        <v>59</v>
      </c>
      <c r="I954" s="2" t="s">
        <v>55</v>
      </c>
      <c r="J954" s="2" t="s">
        <v>622</v>
      </c>
      <c r="K954" s="1">
        <v>20</v>
      </c>
      <c r="L954" s="37">
        <v>335.47</v>
      </c>
      <c r="M954" s="3">
        <v>0</v>
      </c>
      <c r="N954" s="37">
        <v>6709.4</v>
      </c>
      <c r="O954" s="37">
        <v>0</v>
      </c>
      <c r="P954" s="53">
        <v>6709.4</v>
      </c>
      <c r="Q954" s="37">
        <v>2438.62</v>
      </c>
      <c r="R954" s="37">
        <v>4270.78</v>
      </c>
      <c r="S954" s="3">
        <v>63.7</v>
      </c>
      <c r="T954" s="1" t="s">
        <v>44</v>
      </c>
      <c r="U954" s="15">
        <v>3</v>
      </c>
    </row>
    <row r="955" spans="1:21" x14ac:dyDescent="0.3">
      <c r="A955" s="14" t="s">
        <v>1303</v>
      </c>
      <c r="B955" s="46">
        <v>45639</v>
      </c>
      <c r="C955" s="4" t="s">
        <v>1259</v>
      </c>
      <c r="D955" s="42" t="s">
        <v>1376</v>
      </c>
      <c r="E955" s="4">
        <v>2024</v>
      </c>
      <c r="F955" s="4" t="s">
        <v>41</v>
      </c>
      <c r="G955" s="61" t="s">
        <v>46</v>
      </c>
      <c r="H955" s="5" t="s">
        <v>24</v>
      </c>
      <c r="I955" s="5" t="s">
        <v>75</v>
      </c>
      <c r="J955" s="5" t="s">
        <v>98</v>
      </c>
      <c r="K955" s="4">
        <v>13</v>
      </c>
      <c r="L955" s="38">
        <v>274.26</v>
      </c>
      <c r="M955" s="6">
        <v>15</v>
      </c>
      <c r="N955" s="38">
        <v>3565.38</v>
      </c>
      <c r="O955" s="38">
        <v>534.80999999999995</v>
      </c>
      <c r="P955" s="54">
        <v>3030.57</v>
      </c>
      <c r="Q955" s="38">
        <v>1804.56</v>
      </c>
      <c r="R955" s="38">
        <v>1226.01</v>
      </c>
      <c r="S955" s="6">
        <v>40.5</v>
      </c>
      <c r="T955" s="4" t="s">
        <v>33</v>
      </c>
      <c r="U955" s="16">
        <v>1</v>
      </c>
    </row>
    <row r="956" spans="1:21" x14ac:dyDescent="0.3">
      <c r="A956" s="13" t="s">
        <v>1304</v>
      </c>
      <c r="B956" s="45">
        <v>45640</v>
      </c>
      <c r="C956" s="1" t="s">
        <v>1259</v>
      </c>
      <c r="D956" s="41" t="s">
        <v>1376</v>
      </c>
      <c r="E956" s="1">
        <v>2024</v>
      </c>
      <c r="F956" s="1" t="s">
        <v>29</v>
      </c>
      <c r="G956" s="60" t="s">
        <v>23</v>
      </c>
      <c r="H956" s="2" t="s">
        <v>50</v>
      </c>
      <c r="I956" s="2" t="s">
        <v>47</v>
      </c>
      <c r="J956" s="2" t="s">
        <v>537</v>
      </c>
      <c r="K956" s="1">
        <v>2</v>
      </c>
      <c r="L956" s="37">
        <v>99.84</v>
      </c>
      <c r="M956" s="3">
        <v>0</v>
      </c>
      <c r="N956" s="37">
        <v>199.68</v>
      </c>
      <c r="O956" s="37">
        <v>0</v>
      </c>
      <c r="P956" s="53">
        <v>199.68</v>
      </c>
      <c r="Q956" s="37">
        <v>81.849999999999994</v>
      </c>
      <c r="R956" s="37">
        <v>117.83</v>
      </c>
      <c r="S956" s="3">
        <v>59</v>
      </c>
      <c r="T956" s="1" t="s">
        <v>33</v>
      </c>
      <c r="U956" s="15">
        <v>5</v>
      </c>
    </row>
    <row r="957" spans="1:21" x14ac:dyDescent="0.3">
      <c r="A957" s="14" t="s">
        <v>1305</v>
      </c>
      <c r="B957" s="46">
        <v>45640</v>
      </c>
      <c r="C957" s="4" t="s">
        <v>1259</v>
      </c>
      <c r="D957" s="42" t="s">
        <v>1376</v>
      </c>
      <c r="E957" s="4">
        <v>2024</v>
      </c>
      <c r="F957" s="4" t="s">
        <v>29</v>
      </c>
      <c r="G957" s="61" t="s">
        <v>36</v>
      </c>
      <c r="H957" s="5" t="s">
        <v>50</v>
      </c>
      <c r="I957" s="5" t="s">
        <v>38</v>
      </c>
      <c r="J957" s="5" t="s">
        <v>672</v>
      </c>
      <c r="K957" s="4">
        <v>13</v>
      </c>
      <c r="L957" s="38">
        <v>50.95</v>
      </c>
      <c r="M957" s="6">
        <v>5</v>
      </c>
      <c r="N957" s="38">
        <v>662.35</v>
      </c>
      <c r="O957" s="38">
        <v>33.119999999999997</v>
      </c>
      <c r="P957" s="54">
        <v>629.23</v>
      </c>
      <c r="Q957" s="38">
        <v>290.8</v>
      </c>
      <c r="R957" s="38">
        <v>338.43</v>
      </c>
      <c r="S957" s="6">
        <v>53.8</v>
      </c>
      <c r="T957" s="4" t="s">
        <v>44</v>
      </c>
      <c r="U957" s="16">
        <v>1</v>
      </c>
    </row>
    <row r="958" spans="1:21" x14ac:dyDescent="0.3">
      <c r="A958" s="13" t="s">
        <v>1306</v>
      </c>
      <c r="B958" s="45">
        <v>45641</v>
      </c>
      <c r="C958" s="1" t="s">
        <v>1259</v>
      </c>
      <c r="D958" s="41" t="s">
        <v>1376</v>
      </c>
      <c r="E958" s="1">
        <v>2024</v>
      </c>
      <c r="F958" s="1" t="s">
        <v>29</v>
      </c>
      <c r="G958" s="60" t="s">
        <v>122</v>
      </c>
      <c r="H958" s="2" t="s">
        <v>24</v>
      </c>
      <c r="I958" s="2" t="s">
        <v>38</v>
      </c>
      <c r="J958" s="2" t="s">
        <v>412</v>
      </c>
      <c r="K958" s="1">
        <v>11</v>
      </c>
      <c r="L958" s="37">
        <v>47.24</v>
      </c>
      <c r="M958" s="3">
        <v>0</v>
      </c>
      <c r="N958" s="37">
        <v>519.64</v>
      </c>
      <c r="O958" s="37">
        <v>0</v>
      </c>
      <c r="P958" s="53">
        <v>519.64</v>
      </c>
      <c r="Q958" s="37">
        <v>300</v>
      </c>
      <c r="R958" s="37">
        <v>219.64</v>
      </c>
      <c r="S958" s="3">
        <v>42.3</v>
      </c>
      <c r="T958" s="1" t="s">
        <v>27</v>
      </c>
      <c r="U958" s="15">
        <v>3</v>
      </c>
    </row>
    <row r="959" spans="1:21" x14ac:dyDescent="0.3">
      <c r="A959" s="14" t="s">
        <v>1307</v>
      </c>
      <c r="B959" s="46">
        <v>45641</v>
      </c>
      <c r="C959" s="4" t="s">
        <v>1259</v>
      </c>
      <c r="D959" s="42" t="s">
        <v>1376</v>
      </c>
      <c r="E959" s="4">
        <v>2024</v>
      </c>
      <c r="F959" s="4" t="s">
        <v>35</v>
      </c>
      <c r="G959" s="61" t="s">
        <v>30</v>
      </c>
      <c r="H959" s="5" t="s">
        <v>59</v>
      </c>
      <c r="I959" s="5" t="s">
        <v>31</v>
      </c>
      <c r="J959" s="5" t="s">
        <v>1128</v>
      </c>
      <c r="K959" s="4">
        <v>8</v>
      </c>
      <c r="L959" s="38">
        <v>134.33000000000001</v>
      </c>
      <c r="M959" s="6">
        <v>15</v>
      </c>
      <c r="N959" s="38">
        <v>1074.6400000000001</v>
      </c>
      <c r="O959" s="38">
        <v>161.19999999999999</v>
      </c>
      <c r="P959" s="54">
        <v>913.44</v>
      </c>
      <c r="Q959" s="38">
        <v>553.39</v>
      </c>
      <c r="R959" s="38">
        <v>360.05</v>
      </c>
      <c r="S959" s="6">
        <v>39.4</v>
      </c>
      <c r="T959" s="4" t="s">
        <v>44</v>
      </c>
      <c r="U959" s="16">
        <v>4</v>
      </c>
    </row>
    <row r="960" spans="1:21" x14ac:dyDescent="0.3">
      <c r="A960" s="13" t="s">
        <v>1308</v>
      </c>
      <c r="B960" s="45">
        <v>45641</v>
      </c>
      <c r="C960" s="1" t="s">
        <v>1259</v>
      </c>
      <c r="D960" s="41" t="s">
        <v>1376</v>
      </c>
      <c r="E960" s="1">
        <v>2024</v>
      </c>
      <c r="F960" s="1" t="s">
        <v>22</v>
      </c>
      <c r="G960" s="60" t="s">
        <v>91</v>
      </c>
      <c r="H960" s="2" t="s">
        <v>50</v>
      </c>
      <c r="I960" s="2" t="s">
        <v>75</v>
      </c>
      <c r="J960" s="2" t="s">
        <v>153</v>
      </c>
      <c r="K960" s="1">
        <v>2</v>
      </c>
      <c r="L960" s="37">
        <v>267.52999999999997</v>
      </c>
      <c r="M960" s="3">
        <v>10</v>
      </c>
      <c r="N960" s="37">
        <v>535.05999999999995</v>
      </c>
      <c r="O960" s="37">
        <v>53.51</v>
      </c>
      <c r="P960" s="53">
        <v>481.55</v>
      </c>
      <c r="Q960" s="37">
        <v>184.78</v>
      </c>
      <c r="R960" s="37">
        <v>296.77</v>
      </c>
      <c r="S960" s="3">
        <v>61.6</v>
      </c>
      <c r="T960" s="1" t="s">
        <v>44</v>
      </c>
      <c r="U960" s="15">
        <v>2</v>
      </c>
    </row>
    <row r="961" spans="1:21" x14ac:dyDescent="0.3">
      <c r="A961" s="14" t="s">
        <v>1309</v>
      </c>
      <c r="B961" s="46">
        <v>45642</v>
      </c>
      <c r="C961" s="4" t="s">
        <v>1259</v>
      </c>
      <c r="D961" s="42" t="s">
        <v>1376</v>
      </c>
      <c r="E961" s="4">
        <v>2024</v>
      </c>
      <c r="F961" s="4" t="s">
        <v>22</v>
      </c>
      <c r="G961" s="61" t="s">
        <v>42</v>
      </c>
      <c r="H961" s="5" t="s">
        <v>37</v>
      </c>
      <c r="I961" s="5" t="s">
        <v>25</v>
      </c>
      <c r="J961" s="5" t="s">
        <v>414</v>
      </c>
      <c r="K961" s="4">
        <v>16</v>
      </c>
      <c r="L961" s="38">
        <v>145.35</v>
      </c>
      <c r="M961" s="6">
        <v>10</v>
      </c>
      <c r="N961" s="38">
        <v>2325.6</v>
      </c>
      <c r="O961" s="38">
        <v>232.56</v>
      </c>
      <c r="P961" s="54">
        <v>2093.04</v>
      </c>
      <c r="Q961" s="38">
        <v>766.81</v>
      </c>
      <c r="R961" s="38">
        <v>1326.23</v>
      </c>
      <c r="S961" s="6">
        <v>63.4</v>
      </c>
      <c r="T961" s="4" t="s">
        <v>27</v>
      </c>
      <c r="U961" s="16">
        <v>2</v>
      </c>
    </row>
    <row r="962" spans="1:21" x14ac:dyDescent="0.3">
      <c r="A962" s="13" t="s">
        <v>1310</v>
      </c>
      <c r="B962" s="45">
        <v>45642</v>
      </c>
      <c r="C962" s="1" t="s">
        <v>1259</v>
      </c>
      <c r="D962" s="41" t="s">
        <v>1376</v>
      </c>
      <c r="E962" s="1">
        <v>2024</v>
      </c>
      <c r="F962" s="1" t="s">
        <v>29</v>
      </c>
      <c r="G962" s="60" t="s">
        <v>91</v>
      </c>
      <c r="H962" s="2" t="s">
        <v>24</v>
      </c>
      <c r="I962" s="2" t="s">
        <v>47</v>
      </c>
      <c r="J962" s="2" t="s">
        <v>379</v>
      </c>
      <c r="K962" s="1">
        <v>9</v>
      </c>
      <c r="L962" s="37">
        <v>179.17</v>
      </c>
      <c r="M962" s="3">
        <v>0</v>
      </c>
      <c r="N962" s="37">
        <v>1612.53</v>
      </c>
      <c r="O962" s="37">
        <v>0</v>
      </c>
      <c r="P962" s="53">
        <v>1612.53</v>
      </c>
      <c r="Q962" s="37">
        <v>1023.44</v>
      </c>
      <c r="R962" s="37">
        <v>589.09</v>
      </c>
      <c r="S962" s="3">
        <v>36.5</v>
      </c>
      <c r="T962" s="1" t="s">
        <v>44</v>
      </c>
      <c r="U962" s="15">
        <v>4</v>
      </c>
    </row>
    <row r="963" spans="1:21" x14ac:dyDescent="0.3">
      <c r="A963" s="14" t="s">
        <v>1311</v>
      </c>
      <c r="B963" s="46">
        <v>45643</v>
      </c>
      <c r="C963" s="4" t="s">
        <v>1259</v>
      </c>
      <c r="D963" s="42" t="s">
        <v>1376</v>
      </c>
      <c r="E963" s="4">
        <v>2024</v>
      </c>
      <c r="F963" s="4" t="s">
        <v>41</v>
      </c>
      <c r="G963" s="61" t="s">
        <v>23</v>
      </c>
      <c r="H963" s="5" t="s">
        <v>59</v>
      </c>
      <c r="I963" s="5" t="s">
        <v>38</v>
      </c>
      <c r="J963" s="5" t="s">
        <v>431</v>
      </c>
      <c r="K963" s="4">
        <v>12</v>
      </c>
      <c r="L963" s="38">
        <v>64.72</v>
      </c>
      <c r="M963" s="6">
        <v>0</v>
      </c>
      <c r="N963" s="38">
        <v>776.64</v>
      </c>
      <c r="O963" s="38">
        <v>0</v>
      </c>
      <c r="P963" s="54">
        <v>776.64</v>
      </c>
      <c r="Q963" s="38">
        <v>487.74</v>
      </c>
      <c r="R963" s="38">
        <v>288.89999999999998</v>
      </c>
      <c r="S963" s="6">
        <v>37.200000000000003</v>
      </c>
      <c r="T963" s="4" t="s">
        <v>33</v>
      </c>
      <c r="U963" s="16">
        <v>5</v>
      </c>
    </row>
    <row r="964" spans="1:21" x14ac:dyDescent="0.3">
      <c r="A964" s="13" t="s">
        <v>1312</v>
      </c>
      <c r="B964" s="45">
        <v>45643</v>
      </c>
      <c r="C964" s="1" t="s">
        <v>1259</v>
      </c>
      <c r="D964" s="41" t="s">
        <v>1376</v>
      </c>
      <c r="E964" s="1">
        <v>2024</v>
      </c>
      <c r="F964" s="1" t="s">
        <v>29</v>
      </c>
      <c r="G964" s="60" t="s">
        <v>42</v>
      </c>
      <c r="H964" s="2" t="s">
        <v>59</v>
      </c>
      <c r="I964" s="2" t="s">
        <v>75</v>
      </c>
      <c r="J964" s="2" t="s">
        <v>469</v>
      </c>
      <c r="K964" s="1">
        <v>1</v>
      </c>
      <c r="L964" s="37">
        <v>64.73</v>
      </c>
      <c r="M964" s="3">
        <v>15</v>
      </c>
      <c r="N964" s="37">
        <v>64.73</v>
      </c>
      <c r="O964" s="37">
        <v>9.7100000000000009</v>
      </c>
      <c r="P964" s="53">
        <v>55.02</v>
      </c>
      <c r="Q964" s="37">
        <v>33.6</v>
      </c>
      <c r="R964" s="37">
        <v>21.42</v>
      </c>
      <c r="S964" s="3">
        <v>38.9</v>
      </c>
      <c r="T964" s="1" t="s">
        <v>33</v>
      </c>
      <c r="U964" s="15">
        <v>4</v>
      </c>
    </row>
    <row r="965" spans="1:21" x14ac:dyDescent="0.3">
      <c r="A965" s="14" t="s">
        <v>1313</v>
      </c>
      <c r="B965" s="46">
        <v>45643</v>
      </c>
      <c r="C965" s="4" t="s">
        <v>1259</v>
      </c>
      <c r="D965" s="42" t="s">
        <v>1376</v>
      </c>
      <c r="E965" s="4">
        <v>2024</v>
      </c>
      <c r="F965" s="4" t="s">
        <v>22</v>
      </c>
      <c r="G965" s="61" t="s">
        <v>122</v>
      </c>
      <c r="H965" s="5" t="s">
        <v>37</v>
      </c>
      <c r="I965" s="5" t="s">
        <v>31</v>
      </c>
      <c r="J965" s="5" t="s">
        <v>62</v>
      </c>
      <c r="K965" s="4">
        <v>11</v>
      </c>
      <c r="L965" s="38">
        <v>33.24</v>
      </c>
      <c r="M965" s="6">
        <v>0</v>
      </c>
      <c r="N965" s="38">
        <v>365.64</v>
      </c>
      <c r="O965" s="38">
        <v>0</v>
      </c>
      <c r="P965" s="54">
        <v>365.64</v>
      </c>
      <c r="Q965" s="38">
        <v>217.94</v>
      </c>
      <c r="R965" s="38">
        <v>147.69999999999999</v>
      </c>
      <c r="S965" s="6">
        <v>40.4</v>
      </c>
      <c r="T965" s="4" t="s">
        <v>44</v>
      </c>
      <c r="U965" s="16">
        <v>5</v>
      </c>
    </row>
    <row r="966" spans="1:21" x14ac:dyDescent="0.3">
      <c r="A966" s="13" t="s">
        <v>1314</v>
      </c>
      <c r="B966" s="45">
        <v>45643</v>
      </c>
      <c r="C966" s="1" t="s">
        <v>1259</v>
      </c>
      <c r="D966" s="41" t="s">
        <v>1376</v>
      </c>
      <c r="E966" s="1">
        <v>2024</v>
      </c>
      <c r="F966" s="1" t="s">
        <v>35</v>
      </c>
      <c r="G966" s="60" t="s">
        <v>36</v>
      </c>
      <c r="H966" s="2" t="s">
        <v>50</v>
      </c>
      <c r="I966" s="2" t="s">
        <v>25</v>
      </c>
      <c r="J966" s="2" t="s">
        <v>664</v>
      </c>
      <c r="K966" s="1">
        <v>10</v>
      </c>
      <c r="L966" s="37">
        <v>41.08</v>
      </c>
      <c r="M966" s="3">
        <v>5</v>
      </c>
      <c r="N966" s="37">
        <v>410.8</v>
      </c>
      <c r="O966" s="37">
        <v>20.54</v>
      </c>
      <c r="P966" s="53">
        <v>390.26</v>
      </c>
      <c r="Q966" s="37">
        <v>138.19999999999999</v>
      </c>
      <c r="R966" s="37">
        <v>252.06</v>
      </c>
      <c r="S966" s="3">
        <v>64.599999999999994</v>
      </c>
      <c r="T966" s="1" t="s">
        <v>44</v>
      </c>
      <c r="U966" s="15">
        <v>3</v>
      </c>
    </row>
    <row r="967" spans="1:21" x14ac:dyDescent="0.3">
      <c r="A967" s="14" t="s">
        <v>1315</v>
      </c>
      <c r="B967" s="46">
        <v>45644</v>
      </c>
      <c r="C967" s="4" t="s">
        <v>1259</v>
      </c>
      <c r="D967" s="42" t="s">
        <v>1376</v>
      </c>
      <c r="E967" s="4">
        <v>2024</v>
      </c>
      <c r="F967" s="4" t="s">
        <v>29</v>
      </c>
      <c r="G967" s="61" t="s">
        <v>23</v>
      </c>
      <c r="H967" s="5" t="s">
        <v>59</v>
      </c>
      <c r="I967" s="5" t="s">
        <v>31</v>
      </c>
      <c r="J967" s="5" t="s">
        <v>249</v>
      </c>
      <c r="K967" s="4">
        <v>10</v>
      </c>
      <c r="L967" s="38">
        <v>153.16999999999999</v>
      </c>
      <c r="M967" s="6">
        <v>20</v>
      </c>
      <c r="N967" s="38">
        <v>1531.7</v>
      </c>
      <c r="O967" s="38">
        <v>306.33999999999997</v>
      </c>
      <c r="P967" s="54">
        <v>1225.3599999999999</v>
      </c>
      <c r="Q967" s="38">
        <v>683.92</v>
      </c>
      <c r="R967" s="38">
        <v>541.44000000000005</v>
      </c>
      <c r="S967" s="6">
        <v>44.2</v>
      </c>
      <c r="T967" s="4" t="s">
        <v>44</v>
      </c>
      <c r="U967" s="16">
        <v>1</v>
      </c>
    </row>
    <row r="968" spans="1:21" x14ac:dyDescent="0.3">
      <c r="A968" s="13" t="s">
        <v>1316</v>
      </c>
      <c r="B968" s="45">
        <v>45644</v>
      </c>
      <c r="C968" s="1" t="s">
        <v>1259</v>
      </c>
      <c r="D968" s="41" t="s">
        <v>1376</v>
      </c>
      <c r="E968" s="1">
        <v>2024</v>
      </c>
      <c r="F968" s="1" t="s">
        <v>53</v>
      </c>
      <c r="G968" s="60" t="s">
        <v>23</v>
      </c>
      <c r="H968" s="2" t="s">
        <v>37</v>
      </c>
      <c r="I968" s="2" t="s">
        <v>47</v>
      </c>
      <c r="J968" s="2" t="s">
        <v>89</v>
      </c>
      <c r="K968" s="1">
        <v>9</v>
      </c>
      <c r="L968" s="37">
        <v>287.83999999999997</v>
      </c>
      <c r="M968" s="3">
        <v>0</v>
      </c>
      <c r="N968" s="37">
        <v>2590.56</v>
      </c>
      <c r="O968" s="37">
        <v>0</v>
      </c>
      <c r="P968" s="53">
        <v>2590.56</v>
      </c>
      <c r="Q968" s="37">
        <v>993.18</v>
      </c>
      <c r="R968" s="37">
        <v>1597.38</v>
      </c>
      <c r="S968" s="3">
        <v>61.7</v>
      </c>
      <c r="T968" s="1" t="s">
        <v>44</v>
      </c>
      <c r="U968" s="15">
        <v>4</v>
      </c>
    </row>
    <row r="969" spans="1:21" x14ac:dyDescent="0.3">
      <c r="A969" s="14" t="s">
        <v>1317</v>
      </c>
      <c r="B969" s="46">
        <v>45644</v>
      </c>
      <c r="C969" s="4" t="s">
        <v>1259</v>
      </c>
      <c r="D969" s="42" t="s">
        <v>1376</v>
      </c>
      <c r="E969" s="4">
        <v>2024</v>
      </c>
      <c r="F969" s="4" t="s">
        <v>53</v>
      </c>
      <c r="G969" s="61" t="s">
        <v>91</v>
      </c>
      <c r="H969" s="5" t="s">
        <v>37</v>
      </c>
      <c r="I969" s="5" t="s">
        <v>75</v>
      </c>
      <c r="J969" s="5" t="s">
        <v>968</v>
      </c>
      <c r="K969" s="4">
        <v>16</v>
      </c>
      <c r="L969" s="38">
        <v>282.87</v>
      </c>
      <c r="M969" s="6">
        <v>5</v>
      </c>
      <c r="N969" s="38">
        <v>4525.92</v>
      </c>
      <c r="O969" s="38">
        <v>226.3</v>
      </c>
      <c r="P969" s="54">
        <v>4299.62</v>
      </c>
      <c r="Q969" s="38">
        <v>2085.4</v>
      </c>
      <c r="R969" s="38">
        <v>2214.2199999999998</v>
      </c>
      <c r="S969" s="6">
        <v>51.5</v>
      </c>
      <c r="T969" s="4" t="s">
        <v>44</v>
      </c>
      <c r="U969" s="16">
        <v>3</v>
      </c>
    </row>
    <row r="970" spans="1:21" x14ac:dyDescent="0.3">
      <c r="A970" s="13" t="s">
        <v>1318</v>
      </c>
      <c r="B970" s="45">
        <v>45645</v>
      </c>
      <c r="C970" s="1" t="s">
        <v>1259</v>
      </c>
      <c r="D970" s="41" t="s">
        <v>1376</v>
      </c>
      <c r="E970" s="1">
        <v>2024</v>
      </c>
      <c r="F970" s="1" t="s">
        <v>41</v>
      </c>
      <c r="G970" s="60" t="s">
        <v>58</v>
      </c>
      <c r="H970" s="2" t="s">
        <v>37</v>
      </c>
      <c r="I970" s="2" t="s">
        <v>31</v>
      </c>
      <c r="J970" s="2" t="s">
        <v>1121</v>
      </c>
      <c r="K970" s="1">
        <v>4</v>
      </c>
      <c r="L970" s="37">
        <v>55.89</v>
      </c>
      <c r="M970" s="3">
        <v>0</v>
      </c>
      <c r="N970" s="37">
        <v>223.56</v>
      </c>
      <c r="O970" s="37">
        <v>0</v>
      </c>
      <c r="P970" s="53">
        <v>223.56</v>
      </c>
      <c r="Q970" s="37">
        <v>79.77</v>
      </c>
      <c r="R970" s="37">
        <v>143.79</v>
      </c>
      <c r="S970" s="3">
        <v>64.3</v>
      </c>
      <c r="T970" s="1" t="s">
        <v>44</v>
      </c>
      <c r="U970" s="15">
        <v>3</v>
      </c>
    </row>
    <row r="971" spans="1:21" x14ac:dyDescent="0.3">
      <c r="A971" s="14" t="s">
        <v>1319</v>
      </c>
      <c r="B971" s="46">
        <v>45645</v>
      </c>
      <c r="C971" s="4" t="s">
        <v>1259</v>
      </c>
      <c r="D971" s="42" t="s">
        <v>1376</v>
      </c>
      <c r="E971" s="4">
        <v>2024</v>
      </c>
      <c r="F971" s="4" t="s">
        <v>22</v>
      </c>
      <c r="G971" s="61" t="s">
        <v>42</v>
      </c>
      <c r="H971" s="5" t="s">
        <v>24</v>
      </c>
      <c r="I971" s="5" t="s">
        <v>47</v>
      </c>
      <c r="J971" s="5" t="s">
        <v>340</v>
      </c>
      <c r="K971" s="4">
        <v>8</v>
      </c>
      <c r="L971" s="38">
        <v>199.58</v>
      </c>
      <c r="M971" s="6">
        <v>10</v>
      </c>
      <c r="N971" s="38">
        <v>1596.64</v>
      </c>
      <c r="O971" s="38">
        <v>159.66</v>
      </c>
      <c r="P971" s="54">
        <v>1436.98</v>
      </c>
      <c r="Q971" s="38">
        <v>593.04999999999995</v>
      </c>
      <c r="R971" s="38">
        <v>843.93</v>
      </c>
      <c r="S971" s="6">
        <v>58.7</v>
      </c>
      <c r="T971" s="4" t="s">
        <v>44</v>
      </c>
      <c r="U971" s="16">
        <v>1</v>
      </c>
    </row>
    <row r="972" spans="1:21" x14ac:dyDescent="0.3">
      <c r="A972" s="13" t="s">
        <v>1320</v>
      </c>
      <c r="B972" s="45">
        <v>45645</v>
      </c>
      <c r="C972" s="1" t="s">
        <v>1259</v>
      </c>
      <c r="D972" s="41" t="s">
        <v>1376</v>
      </c>
      <c r="E972" s="1">
        <v>2024</v>
      </c>
      <c r="F972" s="1" t="s">
        <v>35</v>
      </c>
      <c r="G972" s="60" t="s">
        <v>46</v>
      </c>
      <c r="H972" s="2" t="s">
        <v>24</v>
      </c>
      <c r="I972" s="2" t="s">
        <v>38</v>
      </c>
      <c r="J972" s="2" t="s">
        <v>247</v>
      </c>
      <c r="K972" s="1">
        <v>5</v>
      </c>
      <c r="L972" s="37">
        <v>39.729999999999997</v>
      </c>
      <c r="M972" s="3">
        <v>15</v>
      </c>
      <c r="N972" s="37">
        <v>198.65</v>
      </c>
      <c r="O972" s="37">
        <v>29.8</v>
      </c>
      <c r="P972" s="53">
        <v>168.85</v>
      </c>
      <c r="Q972" s="37">
        <v>86.35</v>
      </c>
      <c r="R972" s="37">
        <v>82.5</v>
      </c>
      <c r="S972" s="3">
        <v>48.9</v>
      </c>
      <c r="T972" s="1" t="s">
        <v>44</v>
      </c>
      <c r="U972" s="15">
        <v>1</v>
      </c>
    </row>
    <row r="973" spans="1:21" x14ac:dyDescent="0.3">
      <c r="A973" s="14" t="s">
        <v>1321</v>
      </c>
      <c r="B973" s="46">
        <v>45645</v>
      </c>
      <c r="C973" s="4" t="s">
        <v>1259</v>
      </c>
      <c r="D973" s="42" t="s">
        <v>1376</v>
      </c>
      <c r="E973" s="4">
        <v>2024</v>
      </c>
      <c r="F973" s="4" t="s">
        <v>53</v>
      </c>
      <c r="G973" s="61" t="s">
        <v>42</v>
      </c>
      <c r="H973" s="5" t="s">
        <v>59</v>
      </c>
      <c r="I973" s="5" t="s">
        <v>25</v>
      </c>
      <c r="J973" s="5" t="s">
        <v>376</v>
      </c>
      <c r="K973" s="4">
        <v>10</v>
      </c>
      <c r="L973" s="38">
        <v>105.14</v>
      </c>
      <c r="M973" s="6">
        <v>0</v>
      </c>
      <c r="N973" s="38">
        <v>1051.4000000000001</v>
      </c>
      <c r="O973" s="38">
        <v>0</v>
      </c>
      <c r="P973" s="54">
        <v>1051.4000000000001</v>
      </c>
      <c r="Q973" s="38">
        <v>432.27</v>
      </c>
      <c r="R973" s="38">
        <v>619.13</v>
      </c>
      <c r="S973" s="6">
        <v>58.9</v>
      </c>
      <c r="T973" s="4" t="s">
        <v>44</v>
      </c>
      <c r="U973" s="16">
        <v>4</v>
      </c>
    </row>
    <row r="974" spans="1:21" x14ac:dyDescent="0.3">
      <c r="A974" s="13" t="s">
        <v>1322</v>
      </c>
      <c r="B974" s="45">
        <v>45645</v>
      </c>
      <c r="C974" s="1" t="s">
        <v>1259</v>
      </c>
      <c r="D974" s="41" t="s">
        <v>1376</v>
      </c>
      <c r="E974" s="1">
        <v>2024</v>
      </c>
      <c r="F974" s="1" t="s">
        <v>29</v>
      </c>
      <c r="G974" s="60" t="s">
        <v>54</v>
      </c>
      <c r="H974" s="2" t="s">
        <v>59</v>
      </c>
      <c r="I974" s="2" t="s">
        <v>75</v>
      </c>
      <c r="J974" s="2" t="s">
        <v>361</v>
      </c>
      <c r="K974" s="1">
        <v>15</v>
      </c>
      <c r="L974" s="37">
        <v>283.91000000000003</v>
      </c>
      <c r="M974" s="3">
        <v>0</v>
      </c>
      <c r="N974" s="37">
        <v>4258.6499999999996</v>
      </c>
      <c r="O974" s="37">
        <v>0</v>
      </c>
      <c r="P974" s="53">
        <v>4258.6499999999996</v>
      </c>
      <c r="Q974" s="37">
        <v>2159.0500000000002</v>
      </c>
      <c r="R974" s="37">
        <v>2099.6</v>
      </c>
      <c r="S974" s="3">
        <v>49.3</v>
      </c>
      <c r="T974" s="1" t="s">
        <v>27</v>
      </c>
      <c r="U974" s="15">
        <v>4</v>
      </c>
    </row>
    <row r="975" spans="1:21" x14ac:dyDescent="0.3">
      <c r="A975" s="14" t="s">
        <v>1323</v>
      </c>
      <c r="B975" s="46">
        <v>45646</v>
      </c>
      <c r="C975" s="4" t="s">
        <v>1259</v>
      </c>
      <c r="D975" s="42" t="s">
        <v>1376</v>
      </c>
      <c r="E975" s="4">
        <v>2024</v>
      </c>
      <c r="F975" s="4" t="s">
        <v>35</v>
      </c>
      <c r="G975" s="61" t="s">
        <v>66</v>
      </c>
      <c r="H975" s="5" t="s">
        <v>59</v>
      </c>
      <c r="I975" s="5" t="s">
        <v>75</v>
      </c>
      <c r="J975" s="5" t="s">
        <v>807</v>
      </c>
      <c r="K975" s="4">
        <v>11</v>
      </c>
      <c r="L975" s="38">
        <v>81.53</v>
      </c>
      <c r="M975" s="6">
        <v>10</v>
      </c>
      <c r="N975" s="38">
        <v>896.83</v>
      </c>
      <c r="O975" s="38">
        <v>89.68</v>
      </c>
      <c r="P975" s="54">
        <v>807.15</v>
      </c>
      <c r="Q975" s="38">
        <v>345.14</v>
      </c>
      <c r="R975" s="38">
        <v>462.01</v>
      </c>
      <c r="S975" s="6">
        <v>57.2</v>
      </c>
      <c r="T975" s="4" t="s">
        <v>44</v>
      </c>
      <c r="U975" s="16">
        <v>2</v>
      </c>
    </row>
    <row r="976" spans="1:21" x14ac:dyDescent="0.3">
      <c r="A976" s="13" t="s">
        <v>1324</v>
      </c>
      <c r="B976" s="45">
        <v>45647</v>
      </c>
      <c r="C976" s="1" t="s">
        <v>1259</v>
      </c>
      <c r="D976" s="41" t="s">
        <v>1376</v>
      </c>
      <c r="E976" s="1">
        <v>2024</v>
      </c>
      <c r="F976" s="1" t="s">
        <v>22</v>
      </c>
      <c r="G976" s="60" t="s">
        <v>42</v>
      </c>
      <c r="H976" s="2" t="s">
        <v>50</v>
      </c>
      <c r="I976" s="2" t="s">
        <v>47</v>
      </c>
      <c r="J976" s="2" t="s">
        <v>340</v>
      </c>
      <c r="K976" s="1">
        <v>9</v>
      </c>
      <c r="L976" s="37">
        <v>498.9</v>
      </c>
      <c r="M976" s="3">
        <v>20</v>
      </c>
      <c r="N976" s="37">
        <v>4490.1000000000004</v>
      </c>
      <c r="O976" s="37">
        <v>898.02</v>
      </c>
      <c r="P976" s="53">
        <v>3592.08</v>
      </c>
      <c r="Q976" s="37">
        <v>1777.75</v>
      </c>
      <c r="R976" s="37">
        <v>1814.33</v>
      </c>
      <c r="S976" s="3">
        <v>50.5</v>
      </c>
      <c r="T976" s="1" t="s">
        <v>44</v>
      </c>
      <c r="U976" s="15">
        <v>3</v>
      </c>
    </row>
    <row r="977" spans="1:21" x14ac:dyDescent="0.3">
      <c r="A977" s="14" t="s">
        <v>1325</v>
      </c>
      <c r="B977" s="46">
        <v>45648</v>
      </c>
      <c r="C977" s="4" t="s">
        <v>1259</v>
      </c>
      <c r="D977" s="42" t="s">
        <v>1376</v>
      </c>
      <c r="E977" s="4">
        <v>2024</v>
      </c>
      <c r="F977" s="4" t="s">
        <v>29</v>
      </c>
      <c r="G977" s="61" t="s">
        <v>54</v>
      </c>
      <c r="H977" s="5" t="s">
        <v>50</v>
      </c>
      <c r="I977" s="5" t="s">
        <v>75</v>
      </c>
      <c r="J977" s="5" t="s">
        <v>284</v>
      </c>
      <c r="K977" s="4">
        <v>14</v>
      </c>
      <c r="L977" s="38">
        <v>206.04</v>
      </c>
      <c r="M977" s="6">
        <v>20</v>
      </c>
      <c r="N977" s="38">
        <v>2884.56</v>
      </c>
      <c r="O977" s="38">
        <v>576.91</v>
      </c>
      <c r="P977" s="54">
        <v>2307.65</v>
      </c>
      <c r="Q977" s="38">
        <v>1313</v>
      </c>
      <c r="R977" s="38">
        <v>994.65</v>
      </c>
      <c r="S977" s="6">
        <v>43.1</v>
      </c>
      <c r="T977" s="4" t="s">
        <v>44</v>
      </c>
      <c r="U977" s="16">
        <v>2</v>
      </c>
    </row>
    <row r="978" spans="1:21" x14ac:dyDescent="0.3">
      <c r="A978" s="13" t="s">
        <v>1326</v>
      </c>
      <c r="B978" s="45">
        <v>45648</v>
      </c>
      <c r="C978" s="1" t="s">
        <v>1259</v>
      </c>
      <c r="D978" s="41" t="s">
        <v>1376</v>
      </c>
      <c r="E978" s="1">
        <v>2024</v>
      </c>
      <c r="F978" s="1" t="s">
        <v>35</v>
      </c>
      <c r="G978" s="60" t="s">
        <v>58</v>
      </c>
      <c r="H978" s="2" t="s">
        <v>59</v>
      </c>
      <c r="I978" s="2" t="s">
        <v>25</v>
      </c>
      <c r="J978" s="2" t="s">
        <v>131</v>
      </c>
      <c r="K978" s="1">
        <v>20</v>
      </c>
      <c r="L978" s="37">
        <v>51.36</v>
      </c>
      <c r="M978" s="3">
        <v>0</v>
      </c>
      <c r="N978" s="37">
        <v>1027.2</v>
      </c>
      <c r="O978" s="37">
        <v>0</v>
      </c>
      <c r="P978" s="53">
        <v>1027.2</v>
      </c>
      <c r="Q978" s="37">
        <v>403.08</v>
      </c>
      <c r="R978" s="37">
        <v>624.12</v>
      </c>
      <c r="S978" s="3">
        <v>60.8</v>
      </c>
      <c r="T978" s="1" t="s">
        <v>27</v>
      </c>
      <c r="U978" s="15">
        <v>4</v>
      </c>
    </row>
    <row r="979" spans="1:21" x14ac:dyDescent="0.3">
      <c r="A979" s="14" t="s">
        <v>1327</v>
      </c>
      <c r="B979" s="46">
        <v>45648</v>
      </c>
      <c r="C979" s="4" t="s">
        <v>1259</v>
      </c>
      <c r="D979" s="42" t="s">
        <v>1376</v>
      </c>
      <c r="E979" s="4">
        <v>2024</v>
      </c>
      <c r="F979" s="4" t="s">
        <v>22</v>
      </c>
      <c r="G979" s="61" t="s">
        <v>46</v>
      </c>
      <c r="H979" s="5" t="s">
        <v>24</v>
      </c>
      <c r="I979" s="5" t="s">
        <v>25</v>
      </c>
      <c r="J979" s="5" t="s">
        <v>123</v>
      </c>
      <c r="K979" s="4">
        <v>3</v>
      </c>
      <c r="L979" s="38">
        <v>138.88</v>
      </c>
      <c r="M979" s="6">
        <v>10</v>
      </c>
      <c r="N979" s="38">
        <v>416.64</v>
      </c>
      <c r="O979" s="38">
        <v>41.66</v>
      </c>
      <c r="P979" s="54">
        <v>374.98</v>
      </c>
      <c r="Q979" s="38">
        <v>209.85</v>
      </c>
      <c r="R979" s="38">
        <v>165.13</v>
      </c>
      <c r="S979" s="6">
        <v>44</v>
      </c>
      <c r="T979" s="4" t="s">
        <v>44</v>
      </c>
      <c r="U979" s="16">
        <v>2</v>
      </c>
    </row>
    <row r="980" spans="1:21" x14ac:dyDescent="0.3">
      <c r="A980" s="13" t="s">
        <v>1328</v>
      </c>
      <c r="B980" s="45">
        <v>45648</v>
      </c>
      <c r="C980" s="1" t="s">
        <v>1259</v>
      </c>
      <c r="D980" s="41" t="s">
        <v>1376</v>
      </c>
      <c r="E980" s="1">
        <v>2024</v>
      </c>
      <c r="F980" s="1" t="s">
        <v>35</v>
      </c>
      <c r="G980" s="60" t="s">
        <v>36</v>
      </c>
      <c r="H980" s="2" t="s">
        <v>24</v>
      </c>
      <c r="I980" s="2" t="s">
        <v>75</v>
      </c>
      <c r="J980" s="2" t="s">
        <v>383</v>
      </c>
      <c r="K980" s="1">
        <v>7</v>
      </c>
      <c r="L980" s="37">
        <v>57.2</v>
      </c>
      <c r="M980" s="3">
        <v>20</v>
      </c>
      <c r="N980" s="37">
        <v>400.4</v>
      </c>
      <c r="O980" s="37">
        <v>80.08</v>
      </c>
      <c r="P980" s="53">
        <v>320.32</v>
      </c>
      <c r="Q980" s="37">
        <v>113.88</v>
      </c>
      <c r="R980" s="37">
        <v>206.44</v>
      </c>
      <c r="S980" s="3">
        <v>64.400000000000006</v>
      </c>
      <c r="T980" s="1" t="s">
        <v>44</v>
      </c>
      <c r="U980" s="15">
        <v>5</v>
      </c>
    </row>
    <row r="981" spans="1:21" x14ac:dyDescent="0.3">
      <c r="A981" s="14" t="s">
        <v>1329</v>
      </c>
      <c r="B981" s="46">
        <v>45648</v>
      </c>
      <c r="C981" s="4" t="s">
        <v>1259</v>
      </c>
      <c r="D981" s="42" t="s">
        <v>1376</v>
      </c>
      <c r="E981" s="4">
        <v>2024</v>
      </c>
      <c r="F981" s="4" t="s">
        <v>53</v>
      </c>
      <c r="G981" s="61" t="s">
        <v>46</v>
      </c>
      <c r="H981" s="5" t="s">
        <v>37</v>
      </c>
      <c r="I981" s="5" t="s">
        <v>31</v>
      </c>
      <c r="J981" s="5" t="s">
        <v>767</v>
      </c>
      <c r="K981" s="4">
        <v>15</v>
      </c>
      <c r="L981" s="38">
        <v>168.79</v>
      </c>
      <c r="M981" s="6">
        <v>10</v>
      </c>
      <c r="N981" s="38">
        <v>2531.85</v>
      </c>
      <c r="O981" s="38">
        <v>253.19</v>
      </c>
      <c r="P981" s="54">
        <v>2278.66</v>
      </c>
      <c r="Q981" s="38">
        <v>1196.07</v>
      </c>
      <c r="R981" s="38">
        <v>1082.5899999999999</v>
      </c>
      <c r="S981" s="6">
        <v>47.5</v>
      </c>
      <c r="T981" s="4" t="s">
        <v>44</v>
      </c>
      <c r="U981" s="16">
        <v>3</v>
      </c>
    </row>
    <row r="982" spans="1:21" x14ac:dyDescent="0.3">
      <c r="A982" s="13" t="s">
        <v>1330</v>
      </c>
      <c r="B982" s="45">
        <v>45648</v>
      </c>
      <c r="C982" s="1" t="s">
        <v>1259</v>
      </c>
      <c r="D982" s="41" t="s">
        <v>1376</v>
      </c>
      <c r="E982" s="1">
        <v>2024</v>
      </c>
      <c r="F982" s="1" t="s">
        <v>53</v>
      </c>
      <c r="G982" s="60" t="s">
        <v>91</v>
      </c>
      <c r="H982" s="2" t="s">
        <v>59</v>
      </c>
      <c r="I982" s="2" t="s">
        <v>31</v>
      </c>
      <c r="J982" s="2" t="s">
        <v>760</v>
      </c>
      <c r="K982" s="1">
        <v>7</v>
      </c>
      <c r="L982" s="37">
        <v>150.08000000000001</v>
      </c>
      <c r="M982" s="3">
        <v>5</v>
      </c>
      <c r="N982" s="37">
        <v>1050.56</v>
      </c>
      <c r="O982" s="37">
        <v>52.53</v>
      </c>
      <c r="P982" s="53">
        <v>998.03</v>
      </c>
      <c r="Q982" s="37">
        <v>547.98</v>
      </c>
      <c r="R982" s="37">
        <v>450.05</v>
      </c>
      <c r="S982" s="3">
        <v>45.1</v>
      </c>
      <c r="T982" s="1" t="s">
        <v>44</v>
      </c>
      <c r="U982" s="15">
        <v>5</v>
      </c>
    </row>
    <row r="983" spans="1:21" x14ac:dyDescent="0.3">
      <c r="A983" s="14" t="s">
        <v>1331</v>
      </c>
      <c r="B983" s="46">
        <v>45649</v>
      </c>
      <c r="C983" s="4" t="s">
        <v>1259</v>
      </c>
      <c r="D983" s="42" t="s">
        <v>1376</v>
      </c>
      <c r="E983" s="4">
        <v>2024</v>
      </c>
      <c r="F983" s="4" t="s">
        <v>22</v>
      </c>
      <c r="G983" s="61" t="s">
        <v>42</v>
      </c>
      <c r="H983" s="5" t="s">
        <v>50</v>
      </c>
      <c r="I983" s="5" t="s">
        <v>25</v>
      </c>
      <c r="J983" s="5" t="s">
        <v>769</v>
      </c>
      <c r="K983" s="4">
        <v>14</v>
      </c>
      <c r="L983" s="38">
        <v>58.77</v>
      </c>
      <c r="M983" s="6">
        <v>5</v>
      </c>
      <c r="N983" s="38">
        <v>822.78</v>
      </c>
      <c r="O983" s="38">
        <v>41.14</v>
      </c>
      <c r="P983" s="54">
        <v>781.64</v>
      </c>
      <c r="Q983" s="38">
        <v>283.77</v>
      </c>
      <c r="R983" s="38">
        <v>497.87</v>
      </c>
      <c r="S983" s="6">
        <v>63.7</v>
      </c>
      <c r="T983" s="4" t="s">
        <v>33</v>
      </c>
      <c r="U983" s="16">
        <v>5</v>
      </c>
    </row>
    <row r="984" spans="1:21" x14ac:dyDescent="0.3">
      <c r="A984" s="13" t="s">
        <v>1332</v>
      </c>
      <c r="B984" s="45">
        <v>45649</v>
      </c>
      <c r="C984" s="1" t="s">
        <v>1259</v>
      </c>
      <c r="D984" s="41" t="s">
        <v>1376</v>
      </c>
      <c r="E984" s="1">
        <v>2024</v>
      </c>
      <c r="F984" s="1" t="s">
        <v>53</v>
      </c>
      <c r="G984" s="60" t="s">
        <v>58</v>
      </c>
      <c r="H984" s="2" t="s">
        <v>37</v>
      </c>
      <c r="I984" s="2" t="s">
        <v>31</v>
      </c>
      <c r="J984" s="2" t="s">
        <v>1333</v>
      </c>
      <c r="K984" s="1">
        <v>16</v>
      </c>
      <c r="L984" s="37">
        <v>78.47</v>
      </c>
      <c r="M984" s="3">
        <v>0</v>
      </c>
      <c r="N984" s="37">
        <v>1255.52</v>
      </c>
      <c r="O984" s="37">
        <v>0</v>
      </c>
      <c r="P984" s="53">
        <v>1255.52</v>
      </c>
      <c r="Q984" s="37">
        <v>503.58</v>
      </c>
      <c r="R984" s="37">
        <v>751.94</v>
      </c>
      <c r="S984" s="3">
        <v>59.9</v>
      </c>
      <c r="T984" s="1" t="s">
        <v>27</v>
      </c>
      <c r="U984" s="15">
        <v>4</v>
      </c>
    </row>
    <row r="985" spans="1:21" x14ac:dyDescent="0.3">
      <c r="A985" s="14" t="s">
        <v>1334</v>
      </c>
      <c r="B985" s="46">
        <v>45650</v>
      </c>
      <c r="C985" s="4" t="s">
        <v>1259</v>
      </c>
      <c r="D985" s="42" t="s">
        <v>1376</v>
      </c>
      <c r="E985" s="4">
        <v>2024</v>
      </c>
      <c r="F985" s="4" t="s">
        <v>22</v>
      </c>
      <c r="G985" s="61" t="s">
        <v>23</v>
      </c>
      <c r="H985" s="5" t="s">
        <v>24</v>
      </c>
      <c r="I985" s="5" t="s">
        <v>47</v>
      </c>
      <c r="J985" s="5" t="s">
        <v>511</v>
      </c>
      <c r="K985" s="4">
        <v>17</v>
      </c>
      <c r="L985" s="38">
        <v>396.45</v>
      </c>
      <c r="M985" s="6">
        <v>0</v>
      </c>
      <c r="N985" s="38">
        <v>6739.65</v>
      </c>
      <c r="O985" s="38">
        <v>0</v>
      </c>
      <c r="P985" s="54">
        <v>6739.65</v>
      </c>
      <c r="Q985" s="38">
        <v>2933.12</v>
      </c>
      <c r="R985" s="38">
        <v>3806.53</v>
      </c>
      <c r="S985" s="6">
        <v>56.5</v>
      </c>
      <c r="T985" s="4" t="s">
        <v>33</v>
      </c>
      <c r="U985" s="16">
        <v>5</v>
      </c>
    </row>
    <row r="986" spans="1:21" x14ac:dyDescent="0.3">
      <c r="A986" s="13" t="s">
        <v>1335</v>
      </c>
      <c r="B986" s="45">
        <v>45651</v>
      </c>
      <c r="C986" s="1" t="s">
        <v>1259</v>
      </c>
      <c r="D986" s="41" t="s">
        <v>1376</v>
      </c>
      <c r="E986" s="1">
        <v>2024</v>
      </c>
      <c r="F986" s="1" t="s">
        <v>41</v>
      </c>
      <c r="G986" s="60" t="s">
        <v>58</v>
      </c>
      <c r="H986" s="2" t="s">
        <v>59</v>
      </c>
      <c r="I986" s="2" t="s">
        <v>55</v>
      </c>
      <c r="J986" s="2" t="s">
        <v>622</v>
      </c>
      <c r="K986" s="1">
        <v>12</v>
      </c>
      <c r="L986" s="37">
        <v>649.28</v>
      </c>
      <c r="M986" s="3">
        <v>15</v>
      </c>
      <c r="N986" s="37">
        <v>7791.36</v>
      </c>
      <c r="O986" s="37">
        <v>1168.7</v>
      </c>
      <c r="P986" s="53">
        <v>6622.66</v>
      </c>
      <c r="Q986" s="37">
        <v>3885.89</v>
      </c>
      <c r="R986" s="37">
        <v>2736.77</v>
      </c>
      <c r="S986" s="3">
        <v>41.3</v>
      </c>
      <c r="T986" s="1" t="s">
        <v>44</v>
      </c>
      <c r="U986" s="15">
        <v>4</v>
      </c>
    </row>
    <row r="987" spans="1:21" x14ac:dyDescent="0.3">
      <c r="A987" s="14" t="s">
        <v>1336</v>
      </c>
      <c r="B987" s="46">
        <v>45651</v>
      </c>
      <c r="C987" s="4" t="s">
        <v>1259</v>
      </c>
      <c r="D987" s="42" t="s">
        <v>1376</v>
      </c>
      <c r="E987" s="4">
        <v>2024</v>
      </c>
      <c r="F987" s="4" t="s">
        <v>53</v>
      </c>
      <c r="G987" s="61" t="s">
        <v>66</v>
      </c>
      <c r="H987" s="5" t="s">
        <v>24</v>
      </c>
      <c r="I987" s="5" t="s">
        <v>38</v>
      </c>
      <c r="J987" s="5" t="s">
        <v>391</v>
      </c>
      <c r="K987" s="4">
        <v>2</v>
      </c>
      <c r="L987" s="38">
        <v>31.12</v>
      </c>
      <c r="M987" s="6">
        <v>0</v>
      </c>
      <c r="N987" s="38">
        <v>62.24</v>
      </c>
      <c r="O987" s="38">
        <v>0</v>
      </c>
      <c r="P987" s="54">
        <v>62.24</v>
      </c>
      <c r="Q987" s="38">
        <v>33.32</v>
      </c>
      <c r="R987" s="38">
        <v>28.92</v>
      </c>
      <c r="S987" s="6">
        <v>46.5</v>
      </c>
      <c r="T987" s="4" t="s">
        <v>44</v>
      </c>
      <c r="U987" s="16">
        <v>1</v>
      </c>
    </row>
    <row r="988" spans="1:21" x14ac:dyDescent="0.3">
      <c r="A988" s="13" t="s">
        <v>1337</v>
      </c>
      <c r="B988" s="45">
        <v>45651</v>
      </c>
      <c r="C988" s="1" t="s">
        <v>1259</v>
      </c>
      <c r="D988" s="41" t="s">
        <v>1376</v>
      </c>
      <c r="E988" s="1">
        <v>2024</v>
      </c>
      <c r="F988" s="1" t="s">
        <v>35</v>
      </c>
      <c r="G988" s="60" t="s">
        <v>42</v>
      </c>
      <c r="H988" s="2" t="s">
        <v>37</v>
      </c>
      <c r="I988" s="2" t="s">
        <v>75</v>
      </c>
      <c r="J988" s="2" t="s">
        <v>98</v>
      </c>
      <c r="K988" s="1">
        <v>17</v>
      </c>
      <c r="L988" s="37">
        <v>61.61</v>
      </c>
      <c r="M988" s="3">
        <v>0</v>
      </c>
      <c r="N988" s="37">
        <v>1047.3699999999999</v>
      </c>
      <c r="O988" s="37">
        <v>0</v>
      </c>
      <c r="P988" s="53">
        <v>1047.3699999999999</v>
      </c>
      <c r="Q988" s="37">
        <v>383.26</v>
      </c>
      <c r="R988" s="37">
        <v>664.11</v>
      </c>
      <c r="S988" s="3">
        <v>63.4</v>
      </c>
      <c r="T988" s="1" t="s">
        <v>44</v>
      </c>
      <c r="U988" s="15">
        <v>1</v>
      </c>
    </row>
    <row r="989" spans="1:21" x14ac:dyDescent="0.3">
      <c r="A989" s="14" t="s">
        <v>1338</v>
      </c>
      <c r="B989" s="46">
        <v>45651</v>
      </c>
      <c r="C989" s="4" t="s">
        <v>1259</v>
      </c>
      <c r="D989" s="42" t="s">
        <v>1376</v>
      </c>
      <c r="E989" s="4">
        <v>2024</v>
      </c>
      <c r="F989" s="4" t="s">
        <v>35</v>
      </c>
      <c r="G989" s="61" t="s">
        <v>36</v>
      </c>
      <c r="H989" s="5" t="s">
        <v>59</v>
      </c>
      <c r="I989" s="5" t="s">
        <v>47</v>
      </c>
      <c r="J989" s="5" t="s">
        <v>495</v>
      </c>
      <c r="K989" s="4">
        <v>6</v>
      </c>
      <c r="L989" s="38">
        <v>366.56</v>
      </c>
      <c r="M989" s="6">
        <v>10</v>
      </c>
      <c r="N989" s="38">
        <v>2199.36</v>
      </c>
      <c r="O989" s="38">
        <v>219.94</v>
      </c>
      <c r="P989" s="54">
        <v>1979.42</v>
      </c>
      <c r="Q989" s="38">
        <v>1081.6099999999999</v>
      </c>
      <c r="R989" s="38">
        <v>897.81</v>
      </c>
      <c r="S989" s="6">
        <v>45.4</v>
      </c>
      <c r="T989" s="4" t="s">
        <v>33</v>
      </c>
      <c r="U989" s="16">
        <v>2</v>
      </c>
    </row>
    <row r="990" spans="1:21" x14ac:dyDescent="0.3">
      <c r="A990" s="13" t="s">
        <v>1339</v>
      </c>
      <c r="B990" s="45">
        <v>45651</v>
      </c>
      <c r="C990" s="1" t="s">
        <v>1259</v>
      </c>
      <c r="D990" s="41" t="s">
        <v>1376</v>
      </c>
      <c r="E990" s="1">
        <v>2024</v>
      </c>
      <c r="F990" s="1" t="s">
        <v>22</v>
      </c>
      <c r="G990" s="60" t="s">
        <v>122</v>
      </c>
      <c r="H990" s="2" t="s">
        <v>50</v>
      </c>
      <c r="I990" s="2" t="s">
        <v>25</v>
      </c>
      <c r="J990" s="2" t="s">
        <v>928</v>
      </c>
      <c r="K990" s="1">
        <v>3</v>
      </c>
      <c r="L990" s="37">
        <v>73.34</v>
      </c>
      <c r="M990" s="3">
        <v>0</v>
      </c>
      <c r="N990" s="37">
        <v>220.02</v>
      </c>
      <c r="O990" s="37">
        <v>0</v>
      </c>
      <c r="P990" s="53">
        <v>220.02</v>
      </c>
      <c r="Q990" s="37">
        <v>77.56</v>
      </c>
      <c r="R990" s="37">
        <v>142.46</v>
      </c>
      <c r="S990" s="3">
        <v>64.7</v>
      </c>
      <c r="T990" s="1" t="s">
        <v>44</v>
      </c>
      <c r="U990" s="15">
        <v>1</v>
      </c>
    </row>
    <row r="991" spans="1:21" x14ac:dyDescent="0.3">
      <c r="A991" s="14" t="s">
        <v>1340</v>
      </c>
      <c r="B991" s="46">
        <v>45651</v>
      </c>
      <c r="C991" s="4" t="s">
        <v>1259</v>
      </c>
      <c r="D991" s="42" t="s">
        <v>1376</v>
      </c>
      <c r="E991" s="4">
        <v>2024</v>
      </c>
      <c r="F991" s="4" t="s">
        <v>41</v>
      </c>
      <c r="G991" s="61" t="s">
        <v>46</v>
      </c>
      <c r="H991" s="5" t="s">
        <v>59</v>
      </c>
      <c r="I991" s="5" t="s">
        <v>55</v>
      </c>
      <c r="J991" s="5" t="s">
        <v>185</v>
      </c>
      <c r="K991" s="4">
        <v>10</v>
      </c>
      <c r="L991" s="38">
        <v>127.25</v>
      </c>
      <c r="M991" s="6">
        <v>0</v>
      </c>
      <c r="N991" s="38">
        <v>1272.5</v>
      </c>
      <c r="O991" s="38">
        <v>0</v>
      </c>
      <c r="P991" s="54">
        <v>1272.5</v>
      </c>
      <c r="Q991" s="38">
        <v>593.74</v>
      </c>
      <c r="R991" s="38">
        <v>678.76</v>
      </c>
      <c r="S991" s="6">
        <v>53.3</v>
      </c>
      <c r="T991" s="4" t="s">
        <v>44</v>
      </c>
      <c r="U991" s="16">
        <v>2</v>
      </c>
    </row>
    <row r="992" spans="1:21" x14ac:dyDescent="0.3">
      <c r="A992" s="13" t="s">
        <v>1341</v>
      </c>
      <c r="B992" s="45">
        <v>45652</v>
      </c>
      <c r="C992" s="1" t="s">
        <v>1259</v>
      </c>
      <c r="D992" s="41" t="s">
        <v>1376</v>
      </c>
      <c r="E992" s="1">
        <v>2024</v>
      </c>
      <c r="F992" s="1" t="s">
        <v>29</v>
      </c>
      <c r="G992" s="60" t="s">
        <v>54</v>
      </c>
      <c r="H992" s="2" t="s">
        <v>50</v>
      </c>
      <c r="I992" s="2" t="s">
        <v>38</v>
      </c>
      <c r="J992" s="2" t="s">
        <v>443</v>
      </c>
      <c r="K992" s="1">
        <v>17</v>
      </c>
      <c r="L992" s="37">
        <v>8.35</v>
      </c>
      <c r="M992" s="3">
        <v>0</v>
      </c>
      <c r="N992" s="37">
        <v>141.94999999999999</v>
      </c>
      <c r="O992" s="37">
        <v>0</v>
      </c>
      <c r="P992" s="53">
        <v>141.94999999999999</v>
      </c>
      <c r="Q992" s="37">
        <v>61.24</v>
      </c>
      <c r="R992" s="37">
        <v>80.709999999999994</v>
      </c>
      <c r="S992" s="3">
        <v>56.9</v>
      </c>
      <c r="T992" s="1" t="s">
        <v>44</v>
      </c>
      <c r="U992" s="15">
        <v>1</v>
      </c>
    </row>
    <row r="993" spans="1:21" x14ac:dyDescent="0.3">
      <c r="A993" s="14" t="s">
        <v>1342</v>
      </c>
      <c r="B993" s="46">
        <v>45652</v>
      </c>
      <c r="C993" s="4" t="s">
        <v>1259</v>
      </c>
      <c r="D993" s="42" t="s">
        <v>1376</v>
      </c>
      <c r="E993" s="4">
        <v>2024</v>
      </c>
      <c r="F993" s="4" t="s">
        <v>35</v>
      </c>
      <c r="G993" s="61" t="s">
        <v>36</v>
      </c>
      <c r="H993" s="5" t="s">
        <v>59</v>
      </c>
      <c r="I993" s="5" t="s">
        <v>25</v>
      </c>
      <c r="J993" s="5" t="s">
        <v>387</v>
      </c>
      <c r="K993" s="4">
        <v>13</v>
      </c>
      <c r="L993" s="38">
        <v>109.51</v>
      </c>
      <c r="M993" s="6">
        <v>20</v>
      </c>
      <c r="N993" s="38">
        <v>1423.63</v>
      </c>
      <c r="O993" s="38">
        <v>284.73</v>
      </c>
      <c r="P993" s="54">
        <v>1138.9000000000001</v>
      </c>
      <c r="Q993" s="38">
        <v>689.75</v>
      </c>
      <c r="R993" s="38">
        <v>449.15</v>
      </c>
      <c r="S993" s="6">
        <v>39.4</v>
      </c>
      <c r="T993" s="4" t="s">
        <v>27</v>
      </c>
      <c r="U993" s="16">
        <v>1</v>
      </c>
    </row>
    <row r="994" spans="1:21" x14ac:dyDescent="0.3">
      <c r="A994" s="13" t="s">
        <v>1343</v>
      </c>
      <c r="B994" s="45">
        <v>45653</v>
      </c>
      <c r="C994" s="1" t="s">
        <v>1259</v>
      </c>
      <c r="D994" s="41" t="s">
        <v>1376</v>
      </c>
      <c r="E994" s="1">
        <v>2024</v>
      </c>
      <c r="F994" s="1" t="s">
        <v>41</v>
      </c>
      <c r="G994" s="60" t="s">
        <v>54</v>
      </c>
      <c r="H994" s="2" t="s">
        <v>59</v>
      </c>
      <c r="I994" s="2" t="s">
        <v>55</v>
      </c>
      <c r="J994" s="2" t="s">
        <v>399</v>
      </c>
      <c r="K994" s="1">
        <v>5</v>
      </c>
      <c r="L994" s="37">
        <v>75.97</v>
      </c>
      <c r="M994" s="3">
        <v>10</v>
      </c>
      <c r="N994" s="37">
        <v>379.85</v>
      </c>
      <c r="O994" s="37">
        <v>37.99</v>
      </c>
      <c r="P994" s="53">
        <v>341.86</v>
      </c>
      <c r="Q994" s="37">
        <v>187.35</v>
      </c>
      <c r="R994" s="37">
        <v>154.51</v>
      </c>
      <c r="S994" s="3">
        <v>45.2</v>
      </c>
      <c r="T994" s="1" t="s">
        <v>44</v>
      </c>
      <c r="U994" s="15">
        <v>1</v>
      </c>
    </row>
    <row r="995" spans="1:21" x14ac:dyDescent="0.3">
      <c r="A995" s="14" t="s">
        <v>1344</v>
      </c>
      <c r="B995" s="46">
        <v>45653</v>
      </c>
      <c r="C995" s="4" t="s">
        <v>1259</v>
      </c>
      <c r="D995" s="42" t="s">
        <v>1376</v>
      </c>
      <c r="E995" s="4">
        <v>2024</v>
      </c>
      <c r="F995" s="4" t="s">
        <v>35</v>
      </c>
      <c r="G995" s="61" t="s">
        <v>91</v>
      </c>
      <c r="H995" s="5" t="s">
        <v>59</v>
      </c>
      <c r="I995" s="5" t="s">
        <v>47</v>
      </c>
      <c r="J995" s="5" t="s">
        <v>537</v>
      </c>
      <c r="K995" s="4">
        <v>17</v>
      </c>
      <c r="L995" s="38">
        <v>184.68</v>
      </c>
      <c r="M995" s="6">
        <v>10</v>
      </c>
      <c r="N995" s="38">
        <v>3139.56</v>
      </c>
      <c r="O995" s="38">
        <v>313.95999999999998</v>
      </c>
      <c r="P995" s="54">
        <v>2825.6</v>
      </c>
      <c r="Q995" s="38">
        <v>1721.59</v>
      </c>
      <c r="R995" s="38">
        <v>1104.01</v>
      </c>
      <c r="S995" s="6">
        <v>39.1</v>
      </c>
      <c r="T995" s="4" t="s">
        <v>27</v>
      </c>
      <c r="U995" s="16">
        <v>5</v>
      </c>
    </row>
    <row r="996" spans="1:21" x14ac:dyDescent="0.3">
      <c r="A996" s="13" t="s">
        <v>1345</v>
      </c>
      <c r="B996" s="45">
        <v>45653</v>
      </c>
      <c r="C996" s="1" t="s">
        <v>1259</v>
      </c>
      <c r="D996" s="41" t="s">
        <v>1376</v>
      </c>
      <c r="E996" s="1">
        <v>2024</v>
      </c>
      <c r="F996" s="1" t="s">
        <v>22</v>
      </c>
      <c r="G996" s="60" t="s">
        <v>23</v>
      </c>
      <c r="H996" s="2" t="s">
        <v>59</v>
      </c>
      <c r="I996" s="2" t="s">
        <v>55</v>
      </c>
      <c r="J996" s="2" t="s">
        <v>385</v>
      </c>
      <c r="K996" s="1">
        <v>19</v>
      </c>
      <c r="L996" s="37">
        <v>175.77</v>
      </c>
      <c r="M996" s="3">
        <v>0</v>
      </c>
      <c r="N996" s="37">
        <v>3339.63</v>
      </c>
      <c r="O996" s="37">
        <v>0</v>
      </c>
      <c r="P996" s="53">
        <v>3339.63</v>
      </c>
      <c r="Q996" s="37">
        <v>1187.98</v>
      </c>
      <c r="R996" s="37">
        <v>2151.65</v>
      </c>
      <c r="S996" s="3">
        <v>64.400000000000006</v>
      </c>
      <c r="T996" s="1" t="s">
        <v>44</v>
      </c>
      <c r="U996" s="15">
        <v>3</v>
      </c>
    </row>
    <row r="997" spans="1:21" x14ac:dyDescent="0.3">
      <c r="A997" s="14" t="s">
        <v>1346</v>
      </c>
      <c r="B997" s="46">
        <v>45654</v>
      </c>
      <c r="C997" s="4" t="s">
        <v>1259</v>
      </c>
      <c r="D997" s="42" t="s">
        <v>1376</v>
      </c>
      <c r="E997" s="4">
        <v>2024</v>
      </c>
      <c r="F997" s="4" t="s">
        <v>22</v>
      </c>
      <c r="G997" s="61" t="s">
        <v>23</v>
      </c>
      <c r="H997" s="5" t="s">
        <v>50</v>
      </c>
      <c r="I997" s="5" t="s">
        <v>31</v>
      </c>
      <c r="J997" s="5" t="s">
        <v>51</v>
      </c>
      <c r="K997" s="4">
        <v>1</v>
      </c>
      <c r="L997" s="38">
        <v>163.01</v>
      </c>
      <c r="M997" s="6">
        <v>15</v>
      </c>
      <c r="N997" s="38">
        <v>163.01</v>
      </c>
      <c r="O997" s="38">
        <v>24.45</v>
      </c>
      <c r="P997" s="54">
        <v>138.56</v>
      </c>
      <c r="Q997" s="38">
        <v>84.55</v>
      </c>
      <c r="R997" s="38">
        <v>54.01</v>
      </c>
      <c r="S997" s="6">
        <v>39</v>
      </c>
      <c r="T997" s="4" t="s">
        <v>44</v>
      </c>
      <c r="U997" s="16">
        <v>2</v>
      </c>
    </row>
    <row r="998" spans="1:21" x14ac:dyDescent="0.3">
      <c r="A998" s="13" t="s">
        <v>1347</v>
      </c>
      <c r="B998" s="45">
        <v>45654</v>
      </c>
      <c r="C998" s="1" t="s">
        <v>1259</v>
      </c>
      <c r="D998" s="41" t="s">
        <v>1376</v>
      </c>
      <c r="E998" s="1">
        <v>2024</v>
      </c>
      <c r="F998" s="1" t="s">
        <v>29</v>
      </c>
      <c r="G998" s="60" t="s">
        <v>122</v>
      </c>
      <c r="H998" s="2" t="s">
        <v>24</v>
      </c>
      <c r="I998" s="2" t="s">
        <v>47</v>
      </c>
      <c r="J998" s="2" t="s">
        <v>340</v>
      </c>
      <c r="K998" s="1">
        <v>6</v>
      </c>
      <c r="L998" s="37">
        <v>466.36</v>
      </c>
      <c r="M998" s="3">
        <v>0</v>
      </c>
      <c r="N998" s="37">
        <v>2798.16</v>
      </c>
      <c r="O998" s="37">
        <v>0</v>
      </c>
      <c r="P998" s="53">
        <v>2798.16</v>
      </c>
      <c r="Q998" s="37">
        <v>1524.5</v>
      </c>
      <c r="R998" s="37">
        <v>1273.6600000000001</v>
      </c>
      <c r="S998" s="3">
        <v>45.5</v>
      </c>
      <c r="T998" s="1" t="s">
        <v>44</v>
      </c>
      <c r="U998" s="15">
        <v>1</v>
      </c>
    </row>
    <row r="999" spans="1:21" x14ac:dyDescent="0.3">
      <c r="A999" s="14" t="s">
        <v>1348</v>
      </c>
      <c r="B999" s="46">
        <v>45654</v>
      </c>
      <c r="C999" s="4" t="s">
        <v>1259</v>
      </c>
      <c r="D999" s="42" t="s">
        <v>1376</v>
      </c>
      <c r="E999" s="4">
        <v>2024</v>
      </c>
      <c r="F999" s="4" t="s">
        <v>22</v>
      </c>
      <c r="G999" s="61" t="s">
        <v>30</v>
      </c>
      <c r="H999" s="5" t="s">
        <v>59</v>
      </c>
      <c r="I999" s="5" t="s">
        <v>75</v>
      </c>
      <c r="J999" s="5" t="s">
        <v>831</v>
      </c>
      <c r="K999" s="4">
        <v>7</v>
      </c>
      <c r="L999" s="38">
        <v>302.68</v>
      </c>
      <c r="M999" s="6">
        <v>0</v>
      </c>
      <c r="N999" s="38">
        <v>2118.7600000000002</v>
      </c>
      <c r="O999" s="38">
        <v>0</v>
      </c>
      <c r="P999" s="54">
        <v>2118.7600000000002</v>
      </c>
      <c r="Q999" s="38">
        <v>888.5</v>
      </c>
      <c r="R999" s="38">
        <v>1230.26</v>
      </c>
      <c r="S999" s="6">
        <v>58.1</v>
      </c>
      <c r="T999" s="4" t="s">
        <v>44</v>
      </c>
      <c r="U999" s="16">
        <v>5</v>
      </c>
    </row>
    <row r="1000" spans="1:21" x14ac:dyDescent="0.3">
      <c r="A1000" s="13" t="s">
        <v>1349</v>
      </c>
      <c r="B1000" s="45">
        <v>45654</v>
      </c>
      <c r="C1000" s="1" t="s">
        <v>1259</v>
      </c>
      <c r="D1000" s="41" t="s">
        <v>1376</v>
      </c>
      <c r="E1000" s="1">
        <v>2024</v>
      </c>
      <c r="F1000" s="1" t="s">
        <v>29</v>
      </c>
      <c r="G1000" s="60" t="s">
        <v>36</v>
      </c>
      <c r="H1000" s="2" t="s">
        <v>37</v>
      </c>
      <c r="I1000" s="2" t="s">
        <v>25</v>
      </c>
      <c r="J1000" s="2" t="s">
        <v>183</v>
      </c>
      <c r="K1000" s="1">
        <v>7</v>
      </c>
      <c r="L1000" s="37">
        <v>82.24</v>
      </c>
      <c r="M1000" s="3">
        <v>15</v>
      </c>
      <c r="N1000" s="37">
        <v>575.67999999999995</v>
      </c>
      <c r="O1000" s="37">
        <v>86.35</v>
      </c>
      <c r="P1000" s="53">
        <v>489.33</v>
      </c>
      <c r="Q1000" s="37">
        <v>227.15</v>
      </c>
      <c r="R1000" s="37">
        <v>262.18</v>
      </c>
      <c r="S1000" s="3">
        <v>53.6</v>
      </c>
      <c r="T1000" s="1" t="s">
        <v>27</v>
      </c>
      <c r="U1000" s="15">
        <v>1</v>
      </c>
    </row>
    <row r="1001" spans="1:21" x14ac:dyDescent="0.3">
      <c r="A1001" s="20" t="s">
        <v>1350</v>
      </c>
      <c r="B1001" s="47">
        <v>45656</v>
      </c>
      <c r="C1001" s="21" t="s">
        <v>1259</v>
      </c>
      <c r="D1001" s="43" t="s">
        <v>1376</v>
      </c>
      <c r="E1001" s="21">
        <v>2024</v>
      </c>
      <c r="F1001" s="21" t="s">
        <v>22</v>
      </c>
      <c r="G1001" s="62" t="s">
        <v>23</v>
      </c>
      <c r="H1001" s="22" t="s">
        <v>59</v>
      </c>
      <c r="I1001" s="22" t="s">
        <v>31</v>
      </c>
      <c r="J1001" s="22" t="s">
        <v>145</v>
      </c>
      <c r="K1001" s="21">
        <v>2</v>
      </c>
      <c r="L1001" s="39">
        <v>117.1</v>
      </c>
      <c r="M1001" s="23">
        <v>15</v>
      </c>
      <c r="N1001" s="39">
        <v>234.2</v>
      </c>
      <c r="O1001" s="39">
        <v>35.130000000000003</v>
      </c>
      <c r="P1001" s="55">
        <v>199.07</v>
      </c>
      <c r="Q1001" s="39">
        <v>128</v>
      </c>
      <c r="R1001" s="39">
        <v>71.069999999999993</v>
      </c>
      <c r="S1001" s="23">
        <v>35.700000000000003</v>
      </c>
      <c r="T1001" s="21" t="s">
        <v>44</v>
      </c>
      <c r="U1001" s="24">
        <v>3</v>
      </c>
    </row>
  </sheetData>
  <phoneticPr fontId="10"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99152-A63B-44ED-A520-8ABDBA14E406}">
  <dimension ref="A2:Y29"/>
  <sheetViews>
    <sheetView topLeftCell="C1" zoomScaleNormal="100" workbookViewId="0">
      <selection activeCell="H20" sqref="H20"/>
    </sheetView>
  </sheetViews>
  <sheetFormatPr defaultRowHeight="14.4" x14ac:dyDescent="0.3"/>
  <cols>
    <col min="1" max="1" width="21.33203125" bestFit="1" customWidth="1"/>
    <col min="2" max="2" width="20.109375" bestFit="1" customWidth="1"/>
    <col min="3" max="3" width="15.88671875" bestFit="1" customWidth="1"/>
    <col min="4" max="4" width="14.88671875" bestFit="1" customWidth="1"/>
    <col min="5" max="5" width="12.5546875" bestFit="1" customWidth="1"/>
    <col min="6" max="6" width="21.33203125" bestFit="1" customWidth="1"/>
    <col min="8" max="8" width="11.44140625" bestFit="1" customWidth="1"/>
    <col min="11" max="11" width="12.5546875" bestFit="1" customWidth="1"/>
    <col min="12" max="12" width="21.33203125" bestFit="1" customWidth="1"/>
    <col min="14" max="14" width="12.5546875" bestFit="1" customWidth="1"/>
    <col min="15" max="15" width="21.33203125" bestFit="1" customWidth="1"/>
    <col min="17" max="17" width="12.5546875" bestFit="1" customWidth="1"/>
    <col min="18" max="18" width="21.33203125" bestFit="1" customWidth="1"/>
    <col min="20" max="20" width="15" bestFit="1" customWidth="1"/>
    <col min="21" max="21" width="20.109375" bestFit="1" customWidth="1"/>
    <col min="22" max="22" width="21.33203125" bestFit="1" customWidth="1"/>
    <col min="24" max="24" width="12.5546875" bestFit="1" customWidth="1"/>
    <col min="25" max="25" width="21.33203125" bestFit="1" customWidth="1"/>
    <col min="27" max="27" width="15" bestFit="1" customWidth="1"/>
    <col min="28" max="29" width="25.21875" bestFit="1" customWidth="1"/>
  </cols>
  <sheetData>
    <row r="2" spans="1:25" x14ac:dyDescent="0.3">
      <c r="E2" s="26" t="s">
        <v>1364</v>
      </c>
      <c r="F2" t="s">
        <v>1362</v>
      </c>
      <c r="K2" s="26" t="s">
        <v>1364</v>
      </c>
      <c r="L2" t="s">
        <v>1362</v>
      </c>
      <c r="N2" s="26" t="s">
        <v>1364</v>
      </c>
      <c r="O2" t="s">
        <v>1362</v>
      </c>
      <c r="Q2" s="26" t="s">
        <v>1364</v>
      </c>
      <c r="R2" t="s">
        <v>1362</v>
      </c>
      <c r="T2" s="26" t="s">
        <v>1364</v>
      </c>
      <c r="U2" t="s">
        <v>1363</v>
      </c>
      <c r="V2" t="s">
        <v>1362</v>
      </c>
      <c r="X2" s="26" t="s">
        <v>1364</v>
      </c>
      <c r="Y2" t="s">
        <v>1362</v>
      </c>
    </row>
    <row r="3" spans="1:25" x14ac:dyDescent="0.3">
      <c r="A3" t="s">
        <v>1362</v>
      </c>
      <c r="B3" t="s">
        <v>1363</v>
      </c>
      <c r="C3" t="s">
        <v>1365</v>
      </c>
      <c r="E3" s="27" t="s">
        <v>41</v>
      </c>
      <c r="F3" s="25">
        <v>216879.61999999997</v>
      </c>
      <c r="H3" t="s">
        <v>1370</v>
      </c>
      <c r="K3" s="27" t="s">
        <v>1381</v>
      </c>
      <c r="L3" s="58">
        <v>155710.37000000002</v>
      </c>
      <c r="N3" s="27" t="s">
        <v>41</v>
      </c>
      <c r="O3" s="58">
        <v>216879.61999999997</v>
      </c>
      <c r="Q3" s="27" t="s">
        <v>50</v>
      </c>
      <c r="R3" s="30">
        <v>0.28211620903507406</v>
      </c>
      <c r="T3" s="27" t="s">
        <v>55</v>
      </c>
      <c r="U3" s="58">
        <v>238632.14000000004</v>
      </c>
      <c r="V3" s="58">
        <v>471313.55</v>
      </c>
      <c r="X3" s="27" t="s">
        <v>91</v>
      </c>
      <c r="Y3" s="58">
        <v>107320.69999999998</v>
      </c>
    </row>
    <row r="4" spans="1:25" x14ac:dyDescent="0.3">
      <c r="A4" s="57">
        <v>982539.60999999987</v>
      </c>
      <c r="B4" s="25">
        <v>500140.58000000007</v>
      </c>
      <c r="C4" s="65">
        <v>493</v>
      </c>
      <c r="E4" s="27" t="s">
        <v>29</v>
      </c>
      <c r="F4" s="25">
        <v>180643.72999999992</v>
      </c>
      <c r="H4" s="40">
        <f>MAX(F3:F7)</f>
        <v>224060.35</v>
      </c>
      <c r="K4" s="27" t="s">
        <v>1379</v>
      </c>
      <c r="L4" s="58">
        <v>208251.92999999991</v>
      </c>
      <c r="N4" s="27" t="s">
        <v>29</v>
      </c>
      <c r="O4" s="58">
        <v>180643.72999999992</v>
      </c>
      <c r="Q4" s="27" t="s">
        <v>59</v>
      </c>
      <c r="R4" s="30">
        <v>0.26961441279705756</v>
      </c>
      <c r="T4" s="27" t="s">
        <v>47</v>
      </c>
      <c r="U4" s="58">
        <v>104078.84</v>
      </c>
      <c r="V4" s="58">
        <v>203459.19</v>
      </c>
      <c r="X4" s="27" t="s">
        <v>36</v>
      </c>
      <c r="Y4" s="58">
        <v>107518.31000000001</v>
      </c>
    </row>
    <row r="5" spans="1:25" x14ac:dyDescent="0.3">
      <c r="E5" s="27" t="s">
        <v>22</v>
      </c>
      <c r="F5" s="25">
        <v>203699.66999999995</v>
      </c>
      <c r="H5" t="str">
        <f>TEXT(H4,"$#,##0,k")&amp;"  revenue"</f>
        <v>$224k  revenue</v>
      </c>
      <c r="K5" s="27" t="s">
        <v>1384</v>
      </c>
      <c r="L5" s="58">
        <v>130592.87999999993</v>
      </c>
      <c r="N5" s="27" t="s">
        <v>22</v>
      </c>
      <c r="O5" s="58">
        <v>203699.66999999995</v>
      </c>
      <c r="Q5" s="27" t="s">
        <v>37</v>
      </c>
      <c r="R5" s="30">
        <v>0.22498199334681271</v>
      </c>
      <c r="T5" s="27" t="s">
        <v>75</v>
      </c>
      <c r="U5" s="58">
        <v>68236.100000000006</v>
      </c>
      <c r="V5" s="58">
        <v>132754.18999999997</v>
      </c>
      <c r="X5" s="27" t="s">
        <v>23</v>
      </c>
      <c r="Y5" s="58">
        <v>109472.07000000002</v>
      </c>
    </row>
    <row r="6" spans="1:25" x14ac:dyDescent="0.3">
      <c r="E6" s="27" t="s">
        <v>53</v>
      </c>
      <c r="F6" s="25">
        <v>157256.24</v>
      </c>
      <c r="H6" t="str">
        <f>INDEX(E3:E7,MATCH(H4,F3:F7,0))</f>
        <v>West</v>
      </c>
      <c r="K6" s="27" t="s">
        <v>1383</v>
      </c>
      <c r="L6" s="58">
        <v>191123.31000000003</v>
      </c>
      <c r="N6" s="27" t="s">
        <v>53</v>
      </c>
      <c r="O6" s="58">
        <v>157256.24</v>
      </c>
      <c r="Q6" s="27" t="s">
        <v>24</v>
      </c>
      <c r="R6" s="30">
        <v>0.22328738482105567</v>
      </c>
      <c r="T6" s="27" t="s">
        <v>25</v>
      </c>
      <c r="U6" s="58">
        <v>38385.339999999989</v>
      </c>
      <c r="V6" s="58">
        <v>73866.300000000017</v>
      </c>
      <c r="X6" s="27" t="s">
        <v>46</v>
      </c>
      <c r="Y6" s="58">
        <v>109961.75999999998</v>
      </c>
    </row>
    <row r="7" spans="1:25" x14ac:dyDescent="0.3">
      <c r="A7" t="s">
        <v>1363</v>
      </c>
      <c r="B7" t="s">
        <v>1362</v>
      </c>
      <c r="E7" s="27" t="s">
        <v>35</v>
      </c>
      <c r="F7" s="25">
        <v>224060.35</v>
      </c>
      <c r="K7" s="27" t="s">
        <v>1382</v>
      </c>
      <c r="L7" s="58">
        <v>113860.26</v>
      </c>
      <c r="N7" s="27" t="s">
        <v>35</v>
      </c>
      <c r="O7" s="58">
        <v>224060.35</v>
      </c>
      <c r="T7" s="27" t="s">
        <v>31</v>
      </c>
      <c r="U7" s="58">
        <v>31565.22</v>
      </c>
      <c r="V7" s="58">
        <v>62467.199999999997</v>
      </c>
      <c r="X7" s="27" t="s">
        <v>58</v>
      </c>
      <c r="Y7" s="58">
        <v>112622.63999999998</v>
      </c>
    </row>
    <row r="8" spans="1:25" x14ac:dyDescent="0.3">
      <c r="A8" s="25">
        <v>500140.58000000007</v>
      </c>
      <c r="B8" s="35">
        <v>982539.60999999987</v>
      </c>
      <c r="K8" s="27" t="s">
        <v>1380</v>
      </c>
      <c r="L8" s="58">
        <v>183000.85999999993</v>
      </c>
      <c r="T8" s="27" t="s">
        <v>38</v>
      </c>
      <c r="U8" s="58">
        <v>19242.940000000002</v>
      </c>
      <c r="V8" s="58">
        <v>38679.179999999993</v>
      </c>
    </row>
    <row r="10" spans="1:25" x14ac:dyDescent="0.3">
      <c r="A10" t="s">
        <v>1366</v>
      </c>
      <c r="B10" s="29">
        <f>(GETPIVOTDATA("Sum of Gross Profit ($)",$A$7)/GETPIVOTDATA("Sum of Net Revenue ($)",$A$7))</f>
        <v>0.50902841464070858</v>
      </c>
    </row>
    <row r="15" spans="1:25" x14ac:dyDescent="0.3">
      <c r="A15" t="s">
        <v>1367</v>
      </c>
    </row>
    <row r="16" spans="1:25" x14ac:dyDescent="0.3">
      <c r="A16" s="28">
        <v>8.1034482758620694</v>
      </c>
    </row>
    <row r="18" spans="1:18" x14ac:dyDescent="0.3">
      <c r="A18" t="s">
        <v>1368</v>
      </c>
    </row>
    <row r="19" spans="1:18" x14ac:dyDescent="0.3">
      <c r="A19" s="65">
        <v>2.8803245436105476</v>
      </c>
      <c r="B19" t="str">
        <f>TEXT(GETPIVOTDATA("Customer Satisfaction",$A$18),"0.00")&amp;" / 5"</f>
        <v>2.88 / 5</v>
      </c>
    </row>
    <row r="20" spans="1:18" x14ac:dyDescent="0.3">
      <c r="B20" t="str">
        <f>_xlfn.IFS(GETPIVOTDATA("Customer Satisfaction",$A$18)&gt;4.5,"Excellent Rating",GETPIVOTDATA("Customer Satisfaction",$A$18)&gt;3.5,"Good Rating",GETPIVOTDATA("Customer Satisfaction",$A$18)&gt;2,"Satisfactory Rating",GETPIVOTDATA("Customer Satisfaction",$A$18)&gt;1.5,"Needs Improvement",TRUE,"Poor Rating")</f>
        <v>Satisfactory Rating</v>
      </c>
    </row>
    <row r="22" spans="1:18" x14ac:dyDescent="0.3">
      <c r="Q22" s="27"/>
      <c r="R22" s="30"/>
    </row>
    <row r="23" spans="1:18" x14ac:dyDescent="0.3">
      <c r="A23" s="26" t="s">
        <v>1364</v>
      </c>
      <c r="B23" t="s">
        <v>1362</v>
      </c>
      <c r="C23" t="s">
        <v>1369</v>
      </c>
      <c r="Q23" s="27"/>
      <c r="R23" s="30"/>
    </row>
    <row r="24" spans="1:18" x14ac:dyDescent="0.3">
      <c r="A24" s="27" t="s">
        <v>1375</v>
      </c>
      <c r="B24" s="25">
        <v>494555.18000000011</v>
      </c>
      <c r="C24" s="30"/>
      <c r="Q24" s="27"/>
      <c r="R24" s="30"/>
    </row>
    <row r="25" spans="1:18" x14ac:dyDescent="0.3">
      <c r="A25" s="27" t="s">
        <v>1376</v>
      </c>
      <c r="B25" s="25">
        <v>487984.43000000005</v>
      </c>
      <c r="C25" s="30">
        <v>-1.3286181736080606E-2</v>
      </c>
      <c r="Q25" s="27"/>
      <c r="R25" s="30"/>
    </row>
    <row r="29" spans="1:18" x14ac:dyDescent="0.3">
      <c r="B29" t="s">
        <v>1378</v>
      </c>
      <c r="C29" s="50">
        <f>IFERROR(LOOKUP(2,1/(C24:C27&lt;&gt;""),C24:C27),"")</f>
        <v>-1.3286181736080606E-2</v>
      </c>
    </row>
  </sheetData>
  <conditionalFormatting pivot="1" sqref="C24:C25">
    <cfRule type="aboveAverage" dxfId="1241" priority="1" aboveAverage="0"/>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428ED-7563-49E2-AE19-4CE28FFCE273}">
  <dimension ref="X3:AM13"/>
  <sheetViews>
    <sheetView showGridLines="0" tabSelected="1" zoomScale="90" zoomScaleNormal="90" workbookViewId="0">
      <selection activeCell="V13" sqref="V13"/>
    </sheetView>
  </sheetViews>
  <sheetFormatPr defaultRowHeight="14.4" x14ac:dyDescent="0.3"/>
  <cols>
    <col min="1" max="1" width="5.5546875" customWidth="1"/>
    <col min="37" max="37" width="13.77734375" hidden="1" customWidth="1"/>
  </cols>
  <sheetData>
    <row r="3" spans="24:39" x14ac:dyDescent="0.3">
      <c r="AK3" s="40">
        <f>GETPIVOTDATA("Sum of Net Revenue ($)",Pivottables!$A$3)</f>
        <v>982539.60999999987</v>
      </c>
    </row>
    <row r="4" spans="24:39" x14ac:dyDescent="0.3">
      <c r="AK4" s="33">
        <f>Pivottables!B10</f>
        <v>0.50902841464070858</v>
      </c>
      <c r="AM4" s="51"/>
    </row>
    <row r="5" spans="24:39" x14ac:dyDescent="0.3">
      <c r="AF5" s="51"/>
      <c r="AK5">
        <f>GETPIVOTDATA("Count of Order ID",Pivottables!$A$3)</f>
        <v>493</v>
      </c>
    </row>
    <row r="6" spans="24:39" x14ac:dyDescent="0.3">
      <c r="AK6" s="49">
        <f>Pivottables!C29</f>
        <v>-1.3286181736080606E-2</v>
      </c>
    </row>
    <row r="7" spans="24:39" x14ac:dyDescent="0.3">
      <c r="AK7" t="str">
        <f>IF(AK6&gt;0,AK11,AK12)</f>
        <v>▼</v>
      </c>
      <c r="AL7" s="51"/>
    </row>
    <row r="8" spans="24:39" x14ac:dyDescent="0.3">
      <c r="AK8" s="34" t="str">
        <f>Pivottables!B19</f>
        <v>2.88 / 5</v>
      </c>
    </row>
    <row r="9" spans="24:39" x14ac:dyDescent="0.3">
      <c r="AK9" t="str">
        <f>UPPER(Pivottables!H6)</f>
        <v>WEST</v>
      </c>
    </row>
    <row r="10" spans="24:39" x14ac:dyDescent="0.3">
      <c r="AK10" s="32" t="str">
        <f>Pivottables!H5</f>
        <v>$224k  revenue</v>
      </c>
    </row>
    <row r="11" spans="24:39" x14ac:dyDescent="0.3">
      <c r="AK11" t="s">
        <v>1372</v>
      </c>
    </row>
    <row r="12" spans="24:39" x14ac:dyDescent="0.3">
      <c r="X12" s="31"/>
      <c r="AK12" s="51" t="s">
        <v>1371</v>
      </c>
    </row>
    <row r="13" spans="24:39" x14ac:dyDescent="0.3">
      <c r="AK13" t="str">
        <f>Pivottables!B20</f>
        <v>Satisfactory Rating</v>
      </c>
    </row>
  </sheetData>
  <conditionalFormatting sqref="AK6">
    <cfRule type="cellIs" dxfId="1240" priority="1" operator="lessThan">
      <formula>0</formula>
    </cfRule>
    <cfRule type="cellIs" dxfId="1239" priority="2" operator="greaterThan">
      <formula>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3"/>
  <sheetViews>
    <sheetView showGridLines="0" zoomScale="118" workbookViewId="0">
      <selection activeCell="D22" sqref="D22"/>
    </sheetView>
  </sheetViews>
  <sheetFormatPr defaultRowHeight="14.4" x14ac:dyDescent="0.3"/>
  <cols>
    <col min="1" max="1" width="12" customWidth="1"/>
    <col min="2" max="2" width="8" customWidth="1"/>
    <col min="3" max="3" width="12.5546875" customWidth="1"/>
    <col min="4" max="4" width="12.33203125" customWidth="1"/>
    <col min="5" max="5" width="15.6640625" customWidth="1"/>
    <col min="6" max="6" width="14" customWidth="1"/>
    <col min="7" max="7" width="3" customWidth="1"/>
    <col min="8" max="8" width="10" customWidth="1"/>
    <col min="9" max="9" width="8" customWidth="1"/>
    <col min="10" max="10" width="13" customWidth="1"/>
    <col min="11" max="11" width="12.44140625" customWidth="1"/>
    <col min="12" max="12" width="14.88671875" customWidth="1"/>
    <col min="13" max="13" width="3" customWidth="1"/>
    <col min="14" max="14" width="16" customWidth="1"/>
    <col min="15" max="15" width="8" customWidth="1"/>
    <col min="16" max="17" width="14" customWidth="1"/>
    <col min="18" max="18" width="13" customWidth="1"/>
    <col min="19" max="19" width="3" customWidth="1"/>
    <col min="20" max="20" width="18" customWidth="1"/>
    <col min="21" max="21" width="8" customWidth="1"/>
    <col min="22" max="23" width="14" customWidth="1"/>
    <col min="24" max="24" width="13" customWidth="1"/>
    <col min="25" max="25" width="14" customWidth="1"/>
    <col min="26" max="26" width="3" customWidth="1"/>
    <col min="27" max="27" width="14" customWidth="1"/>
    <col min="28" max="28" width="8" customWidth="1"/>
    <col min="29" max="30" width="14" customWidth="1"/>
    <col min="31" max="31" width="13" customWidth="1"/>
  </cols>
  <sheetData>
    <row r="1" spans="1:31" ht="25.95" customHeight="1" x14ac:dyDescent="0.3">
      <c r="A1" s="63" t="s">
        <v>1351</v>
      </c>
      <c r="B1" s="64"/>
      <c r="C1" s="64"/>
      <c r="D1" s="64"/>
      <c r="E1" s="64"/>
      <c r="F1" s="64"/>
      <c r="H1" s="63" t="s">
        <v>1352</v>
      </c>
      <c r="I1" s="64"/>
      <c r="J1" s="64"/>
      <c r="K1" s="64"/>
      <c r="L1" s="64"/>
      <c r="N1" s="63" t="s">
        <v>1353</v>
      </c>
      <c r="O1" s="64"/>
      <c r="P1" s="64"/>
      <c r="Q1" s="64"/>
      <c r="R1" s="64"/>
      <c r="T1" s="63" t="s">
        <v>1354</v>
      </c>
      <c r="U1" s="64"/>
      <c r="V1" s="64"/>
      <c r="W1" s="64"/>
      <c r="X1" s="64"/>
      <c r="Y1" s="64"/>
      <c r="AA1" s="63" t="s">
        <v>1355</v>
      </c>
      <c r="AB1" s="64"/>
      <c r="AC1" s="64"/>
      <c r="AD1" s="64"/>
      <c r="AE1" s="64"/>
    </row>
    <row r="2" spans="1:31" ht="18" customHeight="1" x14ac:dyDescent="0.3">
      <c r="A2" s="7" t="s">
        <v>2</v>
      </c>
      <c r="B2" s="7" t="s">
        <v>1356</v>
      </c>
      <c r="C2" s="7" t="s">
        <v>1357</v>
      </c>
      <c r="D2" s="7" t="s">
        <v>1358</v>
      </c>
      <c r="E2" s="7" t="s">
        <v>1359</v>
      </c>
      <c r="F2" s="7" t="s">
        <v>1360</v>
      </c>
      <c r="H2" s="7" t="s">
        <v>4</v>
      </c>
      <c r="I2" s="7" t="s">
        <v>1356</v>
      </c>
      <c r="J2" s="7" t="s">
        <v>1357</v>
      </c>
      <c r="K2" s="7" t="s">
        <v>1358</v>
      </c>
      <c r="L2" s="7" t="s">
        <v>1360</v>
      </c>
      <c r="N2" s="7" t="s">
        <v>7</v>
      </c>
      <c r="O2" s="7" t="s">
        <v>1356</v>
      </c>
      <c r="P2" s="7" t="s">
        <v>1357</v>
      </c>
      <c r="Q2" s="7" t="s">
        <v>1358</v>
      </c>
      <c r="R2" s="7" t="s">
        <v>1360</v>
      </c>
      <c r="T2" s="7" t="s">
        <v>5</v>
      </c>
      <c r="U2" s="7" t="s">
        <v>1356</v>
      </c>
      <c r="V2" s="7" t="s">
        <v>1357</v>
      </c>
      <c r="W2" s="7" t="s">
        <v>1358</v>
      </c>
      <c r="X2" s="7" t="s">
        <v>1361</v>
      </c>
      <c r="Y2" s="7" t="s">
        <v>1360</v>
      </c>
      <c r="AA2" s="7" t="s">
        <v>6</v>
      </c>
      <c r="AB2" s="7" t="s">
        <v>1356</v>
      </c>
      <c r="AC2" s="7" t="s">
        <v>1357</v>
      </c>
      <c r="AD2" s="7" t="s">
        <v>1358</v>
      </c>
      <c r="AE2" s="7" t="s">
        <v>1360</v>
      </c>
    </row>
    <row r="3" spans="1:31" x14ac:dyDescent="0.3">
      <c r="A3" s="4" t="s">
        <v>454</v>
      </c>
      <c r="B3" s="8">
        <v>86</v>
      </c>
      <c r="C3" s="8">
        <v>152879.29999999999</v>
      </c>
      <c r="D3" s="8">
        <v>76744.44</v>
      </c>
      <c r="E3" s="9">
        <v>1777.6662790697669</v>
      </c>
      <c r="F3" s="66">
        <v>0.502</v>
      </c>
      <c r="H3" s="4" t="s">
        <v>35</v>
      </c>
      <c r="I3" s="8">
        <v>210</v>
      </c>
      <c r="J3" s="8">
        <v>447611.83</v>
      </c>
      <c r="K3" s="8">
        <v>226442.26</v>
      </c>
      <c r="L3" s="9">
        <v>50.6</v>
      </c>
      <c r="N3" s="4" t="s">
        <v>55</v>
      </c>
      <c r="O3" s="8">
        <v>160</v>
      </c>
      <c r="P3" s="8">
        <v>945670.12</v>
      </c>
      <c r="Q3" s="8">
        <v>473296.06</v>
      </c>
      <c r="R3" s="9">
        <v>50</v>
      </c>
      <c r="T3" s="4" t="s">
        <v>54</v>
      </c>
      <c r="U3" s="8">
        <v>110</v>
      </c>
      <c r="V3" s="8">
        <v>252088.88</v>
      </c>
      <c r="W3" s="8">
        <v>124651.85</v>
      </c>
      <c r="X3" s="9">
        <v>2.9</v>
      </c>
      <c r="Y3" s="66">
        <v>0.49399999999999999</v>
      </c>
      <c r="AA3" s="4" t="s">
        <v>50</v>
      </c>
      <c r="AB3" s="8">
        <v>269</v>
      </c>
      <c r="AC3" s="8">
        <v>574432.44999999995</v>
      </c>
      <c r="AD3" s="8">
        <v>283917.13</v>
      </c>
      <c r="AE3" s="9">
        <v>49.4</v>
      </c>
    </row>
    <row r="4" spans="1:31" x14ac:dyDescent="0.3">
      <c r="A4" s="10" t="s">
        <v>895</v>
      </c>
      <c r="B4" s="11">
        <v>96</v>
      </c>
      <c r="C4" s="11">
        <v>208251.93</v>
      </c>
      <c r="D4" s="11">
        <v>105076</v>
      </c>
      <c r="E4" s="12">
        <v>2169.2909374999999</v>
      </c>
      <c r="F4" s="67">
        <v>0.505</v>
      </c>
      <c r="H4" s="10" t="s">
        <v>41</v>
      </c>
      <c r="I4" s="11">
        <v>212</v>
      </c>
      <c r="J4" s="11">
        <v>440175.2</v>
      </c>
      <c r="K4" s="11">
        <v>218502.38</v>
      </c>
      <c r="L4" s="12">
        <v>49.6</v>
      </c>
      <c r="N4" s="10" t="s">
        <v>47</v>
      </c>
      <c r="O4" s="11">
        <v>175</v>
      </c>
      <c r="P4" s="11">
        <v>416201.89</v>
      </c>
      <c r="Q4" s="11">
        <v>208261.8</v>
      </c>
      <c r="R4" s="12">
        <v>50</v>
      </c>
      <c r="T4" s="10" t="s">
        <v>46</v>
      </c>
      <c r="U4" s="11">
        <v>119</v>
      </c>
      <c r="V4" s="11">
        <v>243025.01</v>
      </c>
      <c r="W4" s="11">
        <v>119143.57</v>
      </c>
      <c r="X4" s="12">
        <v>2.9</v>
      </c>
      <c r="Y4" s="67">
        <v>0.49</v>
      </c>
      <c r="AA4" s="10" t="s">
        <v>59</v>
      </c>
      <c r="AB4" s="11">
        <v>259</v>
      </c>
      <c r="AC4" s="11">
        <v>491934.33</v>
      </c>
      <c r="AD4" s="11">
        <v>244330.41</v>
      </c>
      <c r="AE4" s="12">
        <v>49.7</v>
      </c>
    </row>
    <row r="5" spans="1:31" x14ac:dyDescent="0.3">
      <c r="A5" s="4" t="s">
        <v>1259</v>
      </c>
      <c r="B5" s="8">
        <v>89</v>
      </c>
      <c r="C5" s="8">
        <v>183000.86</v>
      </c>
      <c r="D5" s="8">
        <v>97411.17</v>
      </c>
      <c r="E5" s="9">
        <v>2056.1894382022469</v>
      </c>
      <c r="F5" s="66">
        <v>0.53200000000000003</v>
      </c>
      <c r="H5" s="4" t="s">
        <v>22</v>
      </c>
      <c r="I5" s="8">
        <v>199</v>
      </c>
      <c r="J5" s="8">
        <v>405687.84</v>
      </c>
      <c r="K5" s="8">
        <v>203900.75</v>
      </c>
      <c r="L5" s="9">
        <v>50.3</v>
      </c>
      <c r="N5" s="4" t="s">
        <v>75</v>
      </c>
      <c r="O5" s="8">
        <v>176</v>
      </c>
      <c r="P5" s="8">
        <v>320704.93</v>
      </c>
      <c r="Q5" s="8">
        <v>166014.63</v>
      </c>
      <c r="R5" s="9">
        <v>51.8</v>
      </c>
      <c r="T5" s="4" t="s">
        <v>58</v>
      </c>
      <c r="U5" s="8">
        <v>100</v>
      </c>
      <c r="V5" s="8">
        <v>216638.8</v>
      </c>
      <c r="W5" s="8">
        <v>106518.02</v>
      </c>
      <c r="X5" s="9">
        <v>2.9</v>
      </c>
      <c r="Y5" s="66">
        <v>0.49200000000000005</v>
      </c>
      <c r="AA5" s="4" t="s">
        <v>37</v>
      </c>
      <c r="AB5" s="8">
        <v>233</v>
      </c>
      <c r="AC5" s="8">
        <v>472781.67</v>
      </c>
      <c r="AD5" s="8">
        <v>243779.9</v>
      </c>
      <c r="AE5" s="9">
        <v>51.6</v>
      </c>
    </row>
    <row r="6" spans="1:31" x14ac:dyDescent="0.3">
      <c r="A6" s="10" t="s">
        <v>191</v>
      </c>
      <c r="B6" s="11">
        <v>89</v>
      </c>
      <c r="C6" s="11">
        <v>179617.45</v>
      </c>
      <c r="D6" s="11">
        <v>87502.84</v>
      </c>
      <c r="E6" s="12">
        <v>2018.1735955056181</v>
      </c>
      <c r="F6" s="67">
        <v>0.48700000000000004</v>
      </c>
      <c r="H6" s="10" t="s">
        <v>53</v>
      </c>
      <c r="I6" s="11">
        <v>186</v>
      </c>
      <c r="J6" s="11">
        <v>377996.86</v>
      </c>
      <c r="K6" s="11">
        <v>189520.13</v>
      </c>
      <c r="L6" s="12">
        <v>50.1</v>
      </c>
      <c r="N6" s="10" t="s">
        <v>31</v>
      </c>
      <c r="O6" s="11">
        <v>145</v>
      </c>
      <c r="P6" s="11">
        <v>150075.78</v>
      </c>
      <c r="Q6" s="11">
        <v>74015.73</v>
      </c>
      <c r="R6" s="12">
        <v>49.3</v>
      </c>
      <c r="T6" s="10" t="s">
        <v>122</v>
      </c>
      <c r="U6" s="11">
        <v>104</v>
      </c>
      <c r="V6" s="11">
        <v>214635.14</v>
      </c>
      <c r="W6" s="11">
        <v>108122.38</v>
      </c>
      <c r="X6" s="12">
        <v>3</v>
      </c>
      <c r="Y6" s="67">
        <v>0.504</v>
      </c>
      <c r="AA6" s="10" t="s">
        <v>24</v>
      </c>
      <c r="AB6" s="11">
        <v>239</v>
      </c>
      <c r="AC6" s="11">
        <v>490123.07</v>
      </c>
      <c r="AD6" s="11">
        <v>249933.94</v>
      </c>
      <c r="AE6" s="12">
        <v>51</v>
      </c>
    </row>
    <row r="7" spans="1:31" x14ac:dyDescent="0.3">
      <c r="A7" s="4" t="s">
        <v>21</v>
      </c>
      <c r="B7" s="8">
        <v>76</v>
      </c>
      <c r="C7" s="8">
        <v>171016.8</v>
      </c>
      <c r="D7" s="8">
        <v>85896.38</v>
      </c>
      <c r="E7" s="9">
        <v>2250.2210526315789</v>
      </c>
      <c r="F7" s="66">
        <v>0.502</v>
      </c>
      <c r="H7" s="4" t="s">
        <v>29</v>
      </c>
      <c r="I7" s="8">
        <v>193</v>
      </c>
      <c r="J7" s="8">
        <v>357799.79</v>
      </c>
      <c r="K7" s="8">
        <v>183595.86</v>
      </c>
      <c r="L7" s="9">
        <v>51.3</v>
      </c>
      <c r="N7" s="4" t="s">
        <v>25</v>
      </c>
      <c r="O7" s="8">
        <v>166</v>
      </c>
      <c r="P7" s="8">
        <v>123489.99</v>
      </c>
      <c r="Q7" s="8">
        <v>63277.25</v>
      </c>
      <c r="R7" s="9">
        <v>51.2</v>
      </c>
      <c r="T7" s="4" t="s">
        <v>36</v>
      </c>
      <c r="U7" s="8">
        <v>92</v>
      </c>
      <c r="V7" s="8">
        <v>204859.96</v>
      </c>
      <c r="W7" s="8">
        <v>105111.62</v>
      </c>
      <c r="X7" s="9">
        <v>3.1</v>
      </c>
      <c r="Y7" s="66">
        <v>0.51300000000000001</v>
      </c>
    </row>
    <row r="8" spans="1:31" x14ac:dyDescent="0.3">
      <c r="A8" s="10" t="s">
        <v>813</v>
      </c>
      <c r="B8" s="11">
        <v>71</v>
      </c>
      <c r="C8" s="11">
        <v>155710.37</v>
      </c>
      <c r="D8" s="11">
        <v>82360.759999999995</v>
      </c>
      <c r="E8" s="12">
        <v>2193.103802816901</v>
      </c>
      <c r="F8" s="67">
        <v>0.52900000000000003</v>
      </c>
      <c r="N8" s="10" t="s">
        <v>38</v>
      </c>
      <c r="O8" s="11">
        <v>178</v>
      </c>
      <c r="P8" s="11">
        <v>73128.81</v>
      </c>
      <c r="Q8" s="11">
        <v>37095.910000000003</v>
      </c>
      <c r="R8" s="12">
        <v>50.7</v>
      </c>
      <c r="T8" s="10" t="s">
        <v>91</v>
      </c>
      <c r="U8" s="11">
        <v>90</v>
      </c>
      <c r="V8" s="11">
        <v>202235.73</v>
      </c>
      <c r="W8" s="11">
        <v>104418.86</v>
      </c>
      <c r="X8" s="12">
        <v>3.1</v>
      </c>
      <c r="Y8" s="67">
        <v>0.51600000000000001</v>
      </c>
    </row>
    <row r="9" spans="1:31" x14ac:dyDescent="0.3">
      <c r="A9" s="4" t="s">
        <v>713</v>
      </c>
      <c r="B9" s="8">
        <v>78</v>
      </c>
      <c r="C9" s="8">
        <v>187069.46</v>
      </c>
      <c r="D9" s="8">
        <v>92115.34</v>
      </c>
      <c r="E9" s="9">
        <v>2398.3264102564099</v>
      </c>
      <c r="F9" s="66">
        <v>0.49200000000000005</v>
      </c>
      <c r="T9" s="4" t="s">
        <v>42</v>
      </c>
      <c r="U9" s="8">
        <v>94</v>
      </c>
      <c r="V9" s="8">
        <v>195274.31</v>
      </c>
      <c r="W9" s="8">
        <v>102938.05</v>
      </c>
      <c r="X9" s="9">
        <v>3</v>
      </c>
      <c r="Y9" s="66">
        <v>0.52700000000000002</v>
      </c>
    </row>
    <row r="10" spans="1:31" x14ac:dyDescent="0.3">
      <c r="A10" s="10" t="s">
        <v>338</v>
      </c>
      <c r="B10" s="11">
        <v>73</v>
      </c>
      <c r="C10" s="11">
        <v>147789.35</v>
      </c>
      <c r="D10" s="11">
        <v>73742.77</v>
      </c>
      <c r="E10" s="12">
        <v>2024.511643835616</v>
      </c>
      <c r="F10" s="67">
        <v>0.49909999999999999</v>
      </c>
      <c r="T10" s="10" t="s">
        <v>30</v>
      </c>
      <c r="U10" s="11">
        <v>110</v>
      </c>
      <c r="V10" s="11">
        <v>184326.04</v>
      </c>
      <c r="W10" s="11">
        <v>88301.11</v>
      </c>
      <c r="X10" s="12">
        <v>2.8</v>
      </c>
      <c r="Y10" s="67">
        <v>0.47899999999999998</v>
      </c>
    </row>
    <row r="11" spans="1:31" x14ac:dyDescent="0.3">
      <c r="A11" s="4" t="s">
        <v>573</v>
      </c>
      <c r="B11" s="8">
        <v>105</v>
      </c>
      <c r="C11" s="8">
        <v>208359.55</v>
      </c>
      <c r="D11" s="8">
        <v>105819.03</v>
      </c>
      <c r="E11" s="9">
        <v>1984.376666666667</v>
      </c>
      <c r="F11" s="66">
        <v>0.5081</v>
      </c>
      <c r="T11" s="4" t="s">
        <v>23</v>
      </c>
      <c r="U11" s="8">
        <v>89</v>
      </c>
      <c r="V11" s="8">
        <v>168292.7</v>
      </c>
      <c r="W11" s="8">
        <v>85822.66</v>
      </c>
      <c r="X11" s="9">
        <v>3</v>
      </c>
      <c r="Y11" s="66">
        <v>0.51</v>
      </c>
    </row>
    <row r="12" spans="1:31" x14ac:dyDescent="0.3">
      <c r="A12" s="10" t="s">
        <v>1176</v>
      </c>
      <c r="B12" s="11">
        <v>76</v>
      </c>
      <c r="C12" s="11">
        <v>113860.26</v>
      </c>
      <c r="D12" s="11">
        <v>53515.88</v>
      </c>
      <c r="E12" s="12">
        <v>1498.161315789474</v>
      </c>
      <c r="F12" s="67">
        <v>0.47</v>
      </c>
      <c r="T12" s="10" t="s">
        <v>66</v>
      </c>
      <c r="U12" s="11">
        <v>92</v>
      </c>
      <c r="V12" s="11">
        <v>147894.95000000001</v>
      </c>
      <c r="W12" s="11">
        <v>76933.259999999995</v>
      </c>
      <c r="X12" s="12">
        <v>2.6</v>
      </c>
      <c r="Y12" s="67">
        <v>0.52</v>
      </c>
    </row>
    <row r="13" spans="1:31" x14ac:dyDescent="0.3">
      <c r="A13" s="4" t="s">
        <v>1072</v>
      </c>
      <c r="B13" s="8">
        <v>97</v>
      </c>
      <c r="C13" s="8">
        <v>191123.31</v>
      </c>
      <c r="D13" s="8">
        <v>99625.76</v>
      </c>
      <c r="E13" s="9">
        <v>1970.3434020618561</v>
      </c>
      <c r="F13" s="66">
        <v>0.52100000000000002</v>
      </c>
    </row>
    <row r="14" spans="1:31" x14ac:dyDescent="0.3">
      <c r="A14" s="10" t="s">
        <v>1000</v>
      </c>
      <c r="B14" s="11">
        <v>64</v>
      </c>
      <c r="C14" s="11">
        <v>130592.88</v>
      </c>
      <c r="D14" s="11">
        <v>62151.01</v>
      </c>
      <c r="E14" s="12">
        <v>2040.5137500000001</v>
      </c>
      <c r="F14" s="67">
        <v>0.47600000000000003</v>
      </c>
    </row>
    <row r="23" spans="3:3" x14ac:dyDescent="0.3">
      <c r="C23" t="s">
        <v>1385</v>
      </c>
    </row>
  </sheetData>
  <mergeCells count="5">
    <mergeCell ref="T1:Y1"/>
    <mergeCell ref="A1:F1"/>
    <mergeCell ref="AA1:AE1"/>
    <mergeCell ref="H1:L1"/>
    <mergeCell ref="N1:R1"/>
  </mergeCells>
  <conditionalFormatting sqref="J8:J14">
    <cfRule type="colorScale" priority="20">
      <colorScale>
        <cfvo type="min"/>
        <cfvo type="max"/>
        <color rgb="FFFFFFFF"/>
        <color rgb="FF2E75B6"/>
      </colorScale>
    </cfRule>
  </conditionalFormatting>
  <conditionalFormatting sqref="F3:F14">
    <cfRule type="colorScale" priority="12">
      <colorScale>
        <cfvo type="min"/>
        <cfvo type="max"/>
        <color theme="4" tint="0.79998168889431442"/>
        <color theme="3" tint="0.39997558519241921"/>
      </colorScale>
    </cfRule>
  </conditionalFormatting>
  <conditionalFormatting sqref="L3:L7">
    <cfRule type="colorScale" priority="11">
      <colorScale>
        <cfvo type="min"/>
        <cfvo type="max"/>
        <color theme="3" tint="0.79998168889431442"/>
        <color theme="3" tint="0.39997558519241921"/>
      </colorScale>
    </cfRule>
  </conditionalFormatting>
  <conditionalFormatting sqref="R3:R8">
    <cfRule type="colorScale" priority="10">
      <colorScale>
        <cfvo type="min"/>
        <cfvo type="max"/>
        <color theme="3" tint="0.39997558519241921"/>
        <color theme="3" tint="0.79998168889431442"/>
      </colorScale>
    </cfRule>
  </conditionalFormatting>
  <conditionalFormatting sqref="AE3:AE6">
    <cfRule type="colorScale" priority="8">
      <colorScale>
        <cfvo type="min"/>
        <cfvo type="max"/>
        <color theme="3" tint="0.79998168889431442"/>
        <color theme="3" tint="0.39997558519241921"/>
      </colorScale>
    </cfRule>
  </conditionalFormatting>
  <conditionalFormatting sqref="T2:Y2">
    <cfRule type="top10" dxfId="1238" priority="6" rank="3"/>
  </conditionalFormatting>
  <conditionalFormatting sqref="T2:Y2">
    <cfRule type="top10" dxfId="1237" priority="4" rank="3"/>
  </conditionalFormatting>
  <conditionalFormatting sqref="C2:C14">
    <cfRule type="iconSet" priority="3">
      <iconSet iconSet="5Rating">
        <cfvo type="percent" val="0"/>
        <cfvo type="percent" val="20"/>
        <cfvo type="percent" val="40"/>
        <cfvo type="percent" val="60"/>
        <cfvo type="percent" val="80"/>
      </iconSet>
    </cfRule>
  </conditionalFormatting>
  <conditionalFormatting sqref="V2">
    <cfRule type="iconSet" priority="2">
      <iconSet iconSet="5Rating">
        <cfvo type="percent" val="0"/>
        <cfvo type="percent" val="20"/>
        <cfvo type="percent" val="40"/>
        <cfvo type="percent" val="60"/>
        <cfvo type="percent" val="80"/>
      </iconSet>
    </cfRule>
  </conditionalFormatting>
  <conditionalFormatting sqref="Y3:Y12">
    <cfRule type="colorScale" priority="1">
      <colorScale>
        <cfvo type="min"/>
        <cfvo type="max"/>
        <color theme="3" tint="0.79998168889431442"/>
        <color theme="3" tint="0.39997558519241921"/>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Pivottables</vt:lpstr>
      <vt:lpstr>Dashboard</vt:lpstr>
      <vt:lpstr>Summary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yogesh jadhav</cp:lastModifiedBy>
  <dcterms:created xsi:type="dcterms:W3CDTF">2026-03-12T03:52:04Z</dcterms:created>
  <dcterms:modified xsi:type="dcterms:W3CDTF">2026-04-03T12:49:07Z</dcterms:modified>
</cp:coreProperties>
</file>